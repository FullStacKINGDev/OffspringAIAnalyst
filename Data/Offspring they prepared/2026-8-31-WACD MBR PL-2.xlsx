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spring Consulting\World ACD\AirT\Budget FY26_27\"/>
    </mc:Choice>
  </mc:AlternateContent>
  <xr:revisionPtr revIDLastSave="0" documentId="13_ncr:1_{D915CE99-E2BC-470A-8BB9-87921B5F0F6D}" xr6:coauthVersionLast="47" xr6:coauthVersionMax="47" xr10:uidLastSave="{00000000-0000-0000-0000-000000000000}"/>
  <bookViews>
    <workbookView xWindow="-108" yWindow="-108" windowWidth="23256" windowHeight="12456" xr2:uid="{A70D7F28-12F1-4834-A050-24B5E5751997}"/>
  </bookViews>
  <sheets>
    <sheet name="A to B" sheetId="1" r:id="rId1"/>
    <sheet name="A to PY" sheetId="2" r:id="rId2"/>
    <sheet name="ACTUAL" sheetId="3" r:id="rId3"/>
    <sheet name="BUDGET" sheetId="4" r:id="rId4"/>
  </sheets>
  <definedNames>
    <definedName name="_xlnm._FilterDatabase" localSheetId="2" hidden="1">ACTUAL!$A$3:$C$575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18" i="1"/>
  <c r="I24" i="1"/>
  <c r="I18" i="1"/>
  <c r="E24" i="1"/>
  <c r="E25" i="1"/>
  <c r="L25" i="1"/>
  <c r="I25" i="1"/>
  <c r="E18" i="1"/>
  <c r="H55" i="4"/>
  <c r="H56" i="4"/>
  <c r="H57" i="4"/>
  <c r="H58" i="4"/>
  <c r="H60" i="4"/>
  <c r="H61" i="4"/>
  <c r="H62" i="4"/>
  <c r="H63" i="4"/>
  <c r="H64" i="4"/>
  <c r="H65" i="4"/>
  <c r="H66" i="4"/>
  <c r="L17" i="1"/>
  <c r="L16" i="1"/>
  <c r="L19" i="1" s="1"/>
  <c r="I17" i="1"/>
  <c r="I16" i="1"/>
  <c r="H16" i="1"/>
  <c r="E17" i="1"/>
  <c r="E16" i="1"/>
  <c r="B59" i="4"/>
  <c r="I7" i="1"/>
  <c r="C59" i="4"/>
  <c r="I12" i="1"/>
  <c r="I11" i="1"/>
  <c r="I10" i="1"/>
  <c r="I9" i="1"/>
  <c r="I8" i="1"/>
  <c r="E7" i="1"/>
  <c r="E12" i="1"/>
  <c r="E11" i="1"/>
  <c r="E10" i="1"/>
  <c r="E9" i="1"/>
  <c r="E8" i="1"/>
  <c r="D7" i="1"/>
  <c r="H59" i="4" l="1"/>
  <c r="L7" i="1"/>
  <c r="E13" i="1"/>
  <c r="E14" i="1" s="1"/>
  <c r="I13" i="1"/>
  <c r="I14" i="1" s="1"/>
  <c r="L9" i="1"/>
  <c r="E19" i="1"/>
  <c r="I19" i="1"/>
  <c r="L13" i="1"/>
  <c r="L12" i="1"/>
  <c r="L11" i="1"/>
  <c r="L10" i="1"/>
  <c r="L8" i="1"/>
  <c r="F7" i="1"/>
  <c r="I12" i="2"/>
  <c r="E12" i="2"/>
  <c r="H12" i="1"/>
  <c r="D12" i="1"/>
  <c r="L14" i="1" l="1"/>
  <c r="I21" i="1"/>
  <c r="E21" i="1"/>
  <c r="L12" i="2"/>
  <c r="H12" i="2"/>
  <c r="J12" i="2" s="1"/>
  <c r="J12" i="1"/>
  <c r="D12" i="2"/>
  <c r="F12" i="2" s="1"/>
  <c r="F12" i="1"/>
  <c r="A2" i="2"/>
  <c r="I7" i="2" l="1"/>
  <c r="H7" i="1" l="1"/>
  <c r="N7" i="1" s="1"/>
  <c r="D7" i="2"/>
  <c r="I25" i="2"/>
  <c r="L25" i="2" s="1"/>
  <c r="E26" i="1"/>
  <c r="D8" i="1"/>
  <c r="D9" i="1"/>
  <c r="H11" i="1"/>
  <c r="N11" i="1" s="1"/>
  <c r="E7" i="2"/>
  <c r="I9" i="2"/>
  <c r="H17" i="1"/>
  <c r="E10" i="2"/>
  <c r="D16" i="1"/>
  <c r="H18" i="1"/>
  <c r="I11" i="2"/>
  <c r="H24" i="1"/>
  <c r="I13" i="2"/>
  <c r="H25" i="1"/>
  <c r="I16" i="2"/>
  <c r="L16" i="2" s="1"/>
  <c r="D24" i="1"/>
  <c r="I17" i="2"/>
  <c r="L17" i="2" s="1"/>
  <c r="D25" i="1"/>
  <c r="E18" i="2"/>
  <c r="I18" i="2"/>
  <c r="L18" i="2" s="1"/>
  <c r="H10" i="1"/>
  <c r="N10" i="1" s="1"/>
  <c r="D10" i="1"/>
  <c r="H13" i="1"/>
  <c r="N13" i="1" s="1"/>
  <c r="E8" i="2"/>
  <c r="I8" i="2"/>
  <c r="D11" i="1"/>
  <c r="E9" i="2"/>
  <c r="D13" i="1"/>
  <c r="I10" i="2"/>
  <c r="E11" i="2"/>
  <c r="D17" i="1"/>
  <c r="E13" i="2"/>
  <c r="D18" i="1"/>
  <c r="E16" i="2"/>
  <c r="E17" i="2"/>
  <c r="H8" i="1"/>
  <c r="N8" i="1" s="1"/>
  <c r="E24" i="2"/>
  <c r="I24" i="2"/>
  <c r="L24" i="2" s="1"/>
  <c r="H9" i="1"/>
  <c r="N9" i="1" s="1"/>
  <c r="I26" i="1"/>
  <c r="E25" i="2"/>
  <c r="H17" i="2" l="1"/>
  <c r="J17" i="1"/>
  <c r="N17" i="1"/>
  <c r="D16" i="2"/>
  <c r="F16" i="1"/>
  <c r="H18" i="2"/>
  <c r="J18" i="1"/>
  <c r="N18" i="1"/>
  <c r="H24" i="2"/>
  <c r="J24" i="1"/>
  <c r="N24" i="1"/>
  <c r="H25" i="2"/>
  <c r="J25" i="1"/>
  <c r="N25" i="1"/>
  <c r="D24" i="2"/>
  <c r="F24" i="2" s="1"/>
  <c r="F24" i="1"/>
  <c r="D25" i="2"/>
  <c r="F25" i="2" s="1"/>
  <c r="F25" i="1"/>
  <c r="H16" i="2"/>
  <c r="J16" i="1"/>
  <c r="N16" i="1"/>
  <c r="D17" i="2"/>
  <c r="F17" i="2" s="1"/>
  <c r="F17" i="1"/>
  <c r="D18" i="2"/>
  <c r="F18" i="1"/>
  <c r="H7" i="2"/>
  <c r="J7" i="1"/>
  <c r="D8" i="2"/>
  <c r="F8" i="2" s="1"/>
  <c r="F8" i="1"/>
  <c r="D9" i="2"/>
  <c r="F9" i="2" s="1"/>
  <c r="F9" i="1"/>
  <c r="H11" i="2"/>
  <c r="J11" i="1"/>
  <c r="L9" i="2"/>
  <c r="L11" i="2"/>
  <c r="L13" i="2"/>
  <c r="H10" i="2"/>
  <c r="J10" i="1"/>
  <c r="D10" i="2"/>
  <c r="F10" i="1"/>
  <c r="H13" i="2"/>
  <c r="J13" i="1"/>
  <c r="L8" i="2"/>
  <c r="D11" i="2"/>
  <c r="F11" i="2" s="1"/>
  <c r="F11" i="1"/>
  <c r="D13" i="2"/>
  <c r="F13" i="2" s="1"/>
  <c r="F13" i="1"/>
  <c r="L10" i="2"/>
  <c r="H8" i="2"/>
  <c r="N8" i="2" s="1"/>
  <c r="J8" i="1"/>
  <c r="H9" i="2"/>
  <c r="J9" i="1"/>
  <c r="L7" i="2"/>
  <c r="I14" i="2"/>
  <c r="E19" i="2"/>
  <c r="L19" i="2"/>
  <c r="I19" i="2"/>
  <c r="F7" i="2"/>
  <c r="E14" i="2"/>
  <c r="N24" i="2" l="1"/>
  <c r="J24" i="2"/>
  <c r="N25" i="2"/>
  <c r="J25" i="2"/>
  <c r="N16" i="2"/>
  <c r="J16" i="2"/>
  <c r="N17" i="2"/>
  <c r="J17" i="2"/>
  <c r="H19" i="2"/>
  <c r="F16" i="2"/>
  <c r="D19" i="2"/>
  <c r="F19" i="2" s="1"/>
  <c r="N18" i="2"/>
  <c r="J18" i="2"/>
  <c r="J7" i="2"/>
  <c r="N7" i="2"/>
  <c r="J11" i="2"/>
  <c r="N11" i="2"/>
  <c r="J10" i="2"/>
  <c r="N10" i="2"/>
  <c r="J13" i="2"/>
  <c r="N13" i="2"/>
  <c r="J9" i="2"/>
  <c r="N9" i="2"/>
  <c r="L14" i="2"/>
  <c r="L21" i="2" s="1"/>
  <c r="L26" i="2" s="1"/>
  <c r="F10" i="2"/>
  <c r="D14" i="2"/>
  <c r="J8" i="2"/>
  <c r="H14" i="2"/>
  <c r="F14" i="1"/>
  <c r="I21" i="2"/>
  <c r="I26" i="2" s="1"/>
  <c r="E21" i="2"/>
  <c r="E26" i="2" s="1"/>
  <c r="F18" i="2"/>
  <c r="N19" i="2" l="1"/>
  <c r="J19" i="2"/>
  <c r="D21" i="2"/>
  <c r="F14" i="2"/>
  <c r="N14" i="2"/>
  <c r="J14" i="2"/>
  <c r="H21" i="2"/>
  <c r="L22" i="2"/>
  <c r="I22" i="2"/>
  <c r="E22" i="2"/>
  <c r="D26" i="2" l="1"/>
  <c r="F26" i="2" s="1"/>
  <c r="D22" i="2"/>
  <c r="F22" i="2" s="1"/>
  <c r="F21" i="2"/>
  <c r="H26" i="2"/>
  <c r="N21" i="2"/>
  <c r="H22" i="2"/>
  <c r="J22" i="2" s="1"/>
  <c r="J21" i="2"/>
  <c r="I22" i="1"/>
  <c r="E22" i="1"/>
  <c r="H19" i="1"/>
  <c r="D19" i="1"/>
  <c r="H14" i="1"/>
  <c r="D14" i="1"/>
  <c r="N26" i="2" l="1"/>
  <c r="J26" i="2"/>
  <c r="N19" i="1"/>
  <c r="J14" i="1"/>
  <c r="N14" i="1"/>
  <c r="J19" i="1"/>
  <c r="H21" i="1"/>
  <c r="H26" i="1" s="1"/>
  <c r="N26" i="1" s="1"/>
  <c r="F19" i="1"/>
  <c r="D21" i="1"/>
  <c r="D26" i="1" s="1"/>
  <c r="N21" i="1" l="1"/>
  <c r="H22" i="1"/>
  <c r="J22" i="1" s="1"/>
  <c r="F21" i="1"/>
  <c r="F26" i="1" s="1"/>
  <c r="D22" i="1"/>
  <c r="F22" i="1" s="1"/>
  <c r="J21" i="1"/>
  <c r="J26" i="1" s="1"/>
  <c r="L21" i="1" l="1"/>
  <c r="L22" i="1" l="1"/>
  <c r="L26" i="1"/>
</calcChain>
</file>

<file path=xl/sharedStrings.xml><?xml version="1.0" encoding="utf-8"?>
<sst xmlns="http://schemas.openxmlformats.org/spreadsheetml/2006/main" count="659" uniqueCount="47">
  <si>
    <t>Airline</t>
  </si>
  <si>
    <t>Airport</t>
  </si>
  <si>
    <t>Forwarder</t>
  </si>
  <si>
    <t>GSA</t>
  </si>
  <si>
    <t>Shipper</t>
  </si>
  <si>
    <t>Other Revenue</t>
  </si>
  <si>
    <t>Total Revenue</t>
  </si>
  <si>
    <t>COGS</t>
  </si>
  <si>
    <t>General</t>
  </si>
  <si>
    <t>Personnel</t>
  </si>
  <si>
    <t>Total Expenses</t>
  </si>
  <si>
    <t>EBIT</t>
  </si>
  <si>
    <t>Interest</t>
  </si>
  <si>
    <t>Taxes</t>
  </si>
  <si>
    <t>Net Income</t>
  </si>
  <si>
    <t>ACTUAL</t>
  </si>
  <si>
    <t>BUDGET</t>
  </si>
  <si>
    <t>△</t>
  </si>
  <si>
    <t>Month-to-Date (MTD)</t>
  </si>
  <si>
    <t>Year-to-Date (YTD)</t>
  </si>
  <si>
    <t>EBIT %</t>
  </si>
  <si>
    <t>Amounts in € (EUR)</t>
  </si>
  <si>
    <t>FY24</t>
  </si>
  <si>
    <t>PY</t>
  </si>
  <si>
    <t>Actual to Budget</t>
  </si>
  <si>
    <t>Current Year Actual to Prior Year (PY)</t>
  </si>
  <si>
    <t>Review EBIT</t>
  </si>
  <si>
    <t>Period</t>
  </si>
  <si>
    <t>Actual (EUR)</t>
  </si>
  <si>
    <t>Current Year Start</t>
  </si>
  <si>
    <t>EBIT - Budget</t>
  </si>
  <si>
    <t>Revenue - Budget</t>
  </si>
  <si>
    <t>Current Year End</t>
  </si>
  <si>
    <t>%</t>
  </si>
  <si>
    <t>YTD A to B</t>
  </si>
  <si>
    <t>YTD A to PY</t>
  </si>
  <si>
    <t>FY26</t>
  </si>
  <si>
    <t xml:space="preserve"> </t>
  </si>
  <si>
    <t>PY Adjustments</t>
  </si>
  <si>
    <t>As of 31 August 2026</t>
  </si>
  <si>
    <t>Based on past avg trend</t>
  </si>
  <si>
    <t>FY 26/27</t>
  </si>
  <si>
    <t>COGS - Budget</t>
  </si>
  <si>
    <t>General - Budget</t>
  </si>
  <si>
    <t>Personnel - Budget</t>
  </si>
  <si>
    <t>Interest - Budget</t>
  </si>
  <si>
    <t>Taxes -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</si>
</sst>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0" x14ac:knownFonts="1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  <font>
      <sz val="20"/>
      <color theme="1"/>
      <name val="Segoe UI Light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CF3FA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/>
    <xf numFmtId="165" fontId="6" fillId="0" borderId="0" xfId="1" applyNumberFormat="1" applyFont="1"/>
    <xf numFmtId="0" fontId="0" fillId="2" borderId="0" xfId="0" applyFill="1"/>
    <xf numFmtId="165" fontId="0" fillId="2" borderId="0" xfId="1" applyNumberFormat="1" applyFont="1" applyFill="1"/>
    <xf numFmtId="165" fontId="0" fillId="0" borderId="0" xfId="1" applyNumberFormat="1" applyFont="1" applyFill="1"/>
    <xf numFmtId="165" fontId="6" fillId="0" borderId="0" xfId="1" applyNumberFormat="1" applyFont="1" applyFill="1"/>
    <xf numFmtId="0" fontId="6" fillId="0" borderId="1" xfId="0" applyFont="1" applyBorder="1"/>
    <xf numFmtId="165" fontId="6" fillId="0" borderId="1" xfId="1" applyNumberFormat="1" applyFont="1" applyBorder="1"/>
    <xf numFmtId="0" fontId="0" fillId="0" borderId="2" xfId="0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0" fillId="2" borderId="6" xfId="1" applyNumberFormat="1" applyFont="1" applyFill="1" applyBorder="1"/>
    <xf numFmtId="165" fontId="0" fillId="0" borderId="6" xfId="1" applyNumberFormat="1" applyFont="1" applyBorder="1"/>
    <xf numFmtId="165" fontId="6" fillId="0" borderId="4" xfId="1" applyNumberFormat="1" applyFont="1" applyBorder="1"/>
    <xf numFmtId="165" fontId="0" fillId="0" borderId="8" xfId="1" applyNumberFormat="1" applyFont="1" applyBorder="1"/>
    <xf numFmtId="0" fontId="0" fillId="0" borderId="8" xfId="0" applyBorder="1"/>
    <xf numFmtId="165" fontId="6" fillId="0" borderId="1" xfId="1" applyNumberFormat="1" applyFont="1" applyFill="1" applyBorder="1"/>
    <xf numFmtId="165" fontId="6" fillId="0" borderId="4" xfId="1" applyNumberFormat="1" applyFont="1" applyFill="1" applyBorder="1"/>
    <xf numFmtId="165" fontId="6" fillId="0" borderId="0" xfId="1" applyNumberFormat="1" applyFont="1" applyBorder="1"/>
    <xf numFmtId="0" fontId="0" fillId="0" borderId="7" xfId="0" applyBorder="1"/>
    <xf numFmtId="165" fontId="0" fillId="0" borderId="7" xfId="1" applyNumberFormat="1" applyFont="1" applyFill="1" applyBorder="1"/>
    <xf numFmtId="165" fontId="0" fillId="0" borderId="9" xfId="1" applyNumberFormat="1" applyFont="1" applyFill="1" applyBorder="1"/>
    <xf numFmtId="166" fontId="7" fillId="0" borderId="8" xfId="2" applyNumberFormat="1" applyFont="1" applyBorder="1"/>
    <xf numFmtId="166" fontId="7" fillId="0" borderId="10" xfId="2" applyNumberFormat="1" applyFont="1" applyBorder="1"/>
    <xf numFmtId="0" fontId="7" fillId="0" borderId="8" xfId="0" applyFont="1" applyBorder="1"/>
    <xf numFmtId="0" fontId="6" fillId="0" borderId="0" xfId="0" applyFont="1" applyAlignment="1">
      <alignment horizontal="center"/>
    </xf>
    <xf numFmtId="165" fontId="0" fillId="2" borderId="0" xfId="1" applyNumberFormat="1" applyFont="1" applyFill="1" applyBorder="1"/>
    <xf numFmtId="165" fontId="0" fillId="0" borderId="0" xfId="1" applyNumberFormat="1" applyFont="1" applyBorder="1"/>
    <xf numFmtId="166" fontId="7" fillId="0" borderId="0" xfId="2" applyNumberFormat="1" applyFont="1" applyBorder="1"/>
    <xf numFmtId="165" fontId="0" fillId="0" borderId="0" xfId="1" applyNumberFormat="1" applyFont="1" applyFill="1" applyBorder="1"/>
    <xf numFmtId="165" fontId="6" fillId="0" borderId="0" xfId="1" applyNumberFormat="1" applyFont="1" applyFill="1" applyBorder="1"/>
    <xf numFmtId="165" fontId="0" fillId="2" borderId="7" xfId="1" applyNumberFormat="1" applyFont="1" applyFill="1" applyBorder="1"/>
    <xf numFmtId="0" fontId="8" fillId="0" borderId="0" xfId="0" applyFont="1"/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9" fontId="6" fillId="0" borderId="0" xfId="2" applyFont="1"/>
    <xf numFmtId="166" fontId="6" fillId="0" borderId="1" xfId="2" applyNumberFormat="1" applyFont="1" applyBorder="1"/>
    <xf numFmtId="166" fontId="6" fillId="0" borderId="1" xfId="2" applyNumberFormat="1" applyFont="1" applyFill="1" applyBorder="1"/>
    <xf numFmtId="0" fontId="0" fillId="0" borderId="0" xfId="0" applyAlignment="1">
      <alignment horizontal="center"/>
    </xf>
    <xf numFmtId="9" fontId="0" fillId="0" borderId="0" xfId="2" applyFont="1"/>
    <xf numFmtId="9" fontId="0" fillId="0" borderId="0" xfId="0" applyNumberFormat="1"/>
    <xf numFmtId="165" fontId="0" fillId="3" borderId="0" xfId="1" applyNumberFormat="1" applyFont="1" applyFill="1"/>
    <xf numFmtId="14" fontId="0" fillId="3" borderId="0" xfId="0" applyNumberFormat="1" applyFill="1"/>
    <xf numFmtId="9" fontId="0" fillId="2" borderId="0" xfId="2" applyFont="1" applyFill="1" applyBorder="1"/>
    <xf numFmtId="9" fontId="0" fillId="0" borderId="0" xfId="2" applyFont="1" applyBorder="1"/>
    <xf numFmtId="9" fontId="6" fillId="0" borderId="1" xfId="2" applyFont="1" applyFill="1" applyBorder="1"/>
    <xf numFmtId="9" fontId="0" fillId="2" borderId="7" xfId="2" applyFont="1" applyFill="1" applyBorder="1"/>
    <xf numFmtId="9" fontId="0" fillId="0" borderId="7" xfId="2" applyFont="1" applyFill="1" applyBorder="1"/>
  </cellXfs>
  <cellStyles count="8">
    <cellStyle name="Comma" xfId="1" builtinId="3"/>
    <cellStyle name="Normal" xfId="0" builtinId="0"/>
    <cellStyle name="Normal 2" xfId="4" xr:uid="{5A3681FF-45F7-4212-B734-B1B831055B2C}"/>
    <cellStyle name="Normal 3" xfId="5" xr:uid="{BC24B110-7764-4D0A-B1AA-25084697A2A9}"/>
    <cellStyle name="Normal 4" xfId="6" xr:uid="{9DF81077-FE57-422E-9523-B7AF8E782DF3}"/>
    <cellStyle name="Normal 5" xfId="7" xr:uid="{594480E7-6412-4948-A569-858358395E5C}"/>
    <cellStyle name="Percent" xfId="2" builtinId="5"/>
    <cellStyle name="Standaard 2" xfId="3" xr:uid="{20EE39F6-8269-45AC-A063-0901FE658BD7}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_(* #,##0_);_(* \(#,##0\);_(* &quot;-&quot;??_);_(@_)"/>
    </dxf>
    <dxf>
      <numFmt numFmtId="167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ECF3FA"/>
      <color rgb="FF2645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A515E-23F8-439D-90BF-14547835003D}" name="Table1" displayName="Table1" ref="A3:H66" totalsRowShown="0" headerRowDxfId="4">
  <autoFilter ref="A3:H66" xr:uid="{DFFA515E-23F8-439D-90BF-14547835003D}"/>
  <tableColumns count="8">
    <tableColumn id="1" xr3:uid="{1AC5CC65-4742-4EDF-8930-0A5BDEAD1539}" name="Period" dataDxfId="3"/>
    <tableColumn id="2" xr3:uid="{FA6BD90B-46B8-4D0C-9CB6-6D6E4B5770F5}" name="EBIT - Budget" dataDxfId="2" dataCellStyle="Comma"/>
    <tableColumn id="3" xr3:uid="{C5F23D95-AC45-4693-A114-80F8E3C4B69A}" name="Revenue - Budget" dataDxfId="1" dataCellStyle="Comma"/>
    <tableColumn id="4" xr3:uid="{EC48E1A6-5EE1-4B35-8D87-D2425E2A2076}" name="COGS - Budget"/>
    <tableColumn id="5" xr3:uid="{0BFFD19F-AC50-4193-807E-E0B36C484C14}" name="General - Budget"/>
    <tableColumn id="6" xr3:uid="{9357B16D-32BB-40C6-AEDC-E0E98722CD35}" name="Personnel - Budget"/>
    <tableColumn id="7" xr3:uid="{37F1A964-01E6-47D9-A657-5E2E23ACEBEF}" name="Interest - Budget"/>
    <tableColumn id="8" xr3:uid="{E93E1508-CC64-470B-91D4-1B5D3D46443B}" name="Taxes - Budget" dataDxfId="0">
      <calculatedColumnFormula>+Table1[[#This Row],[Revenue - Budget]]*13%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558F9D-F64E-4F8E-BE74-DF6270476727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4b3272ee-9302-4e39-993a-cacdee938c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F5BC-39FD-489D-B9BE-22DA59F3B5C6}">
  <sheetPr>
    <pageSetUpPr fitToPage="1"/>
  </sheetPr>
  <dimension ref="A1:U27"/>
  <sheetViews>
    <sheetView showGridLines="0" tabSelected="1" zoomScaleNormal="100" workbookViewId="0"/>
  </sheetViews>
  <sheetFormatPr defaultRowHeight="15" x14ac:dyDescent="0.35"/>
  <cols>
    <col min="1" max="1" width="2.88671875" customWidth="1"/>
    <col min="2" max="2" width="14.33203125" bestFit="1" customWidth="1"/>
    <col min="3" max="3" width="2.88671875" customWidth="1"/>
    <col min="4" max="6" width="12.44140625" customWidth="1"/>
    <col min="7" max="7" width="2.88671875" customWidth="1"/>
    <col min="8" max="10" width="12.44140625" customWidth="1"/>
    <col min="11" max="11" width="2.88671875" customWidth="1"/>
    <col min="12" max="12" width="12.44140625" customWidth="1"/>
    <col min="13" max="13" width="2.88671875" customWidth="1"/>
    <col min="14" max="14" width="12.44140625" customWidth="1"/>
  </cols>
  <sheetData>
    <row r="1" spans="1:21" ht="29.4" x14ac:dyDescent="0.65">
      <c r="A1" s="35" t="s">
        <v>24</v>
      </c>
    </row>
    <row r="2" spans="1:21" x14ac:dyDescent="0.35">
      <c r="A2" t="s">
        <v>39</v>
      </c>
    </row>
    <row r="3" spans="1:21" x14ac:dyDescent="0.35">
      <c r="A3" t="s">
        <v>21</v>
      </c>
    </row>
    <row r="5" spans="1:21" x14ac:dyDescent="0.35">
      <c r="D5" s="42" t="s">
        <v>18</v>
      </c>
      <c r="E5" s="42"/>
      <c r="F5" s="42"/>
      <c r="H5" s="42" t="s">
        <v>19</v>
      </c>
      <c r="I5" s="42"/>
      <c r="J5" s="42"/>
      <c r="K5" s="2"/>
      <c r="L5" s="2" t="s">
        <v>36</v>
      </c>
      <c r="N5" s="2" t="s">
        <v>34</v>
      </c>
    </row>
    <row r="6" spans="1:21" x14ac:dyDescent="0.35">
      <c r="B6" s="11"/>
      <c r="D6" s="12" t="s">
        <v>15</v>
      </c>
      <c r="E6" s="12" t="s">
        <v>16</v>
      </c>
      <c r="F6" s="13" t="s">
        <v>17</v>
      </c>
      <c r="G6" s="1"/>
      <c r="H6" s="12" t="s">
        <v>15</v>
      </c>
      <c r="I6" s="12" t="s">
        <v>16</v>
      </c>
      <c r="J6" s="13" t="s">
        <v>17</v>
      </c>
      <c r="K6" s="28"/>
      <c r="L6" s="12" t="s">
        <v>16</v>
      </c>
      <c r="N6" s="12" t="s">
        <v>33</v>
      </c>
    </row>
    <row r="7" spans="1:21" x14ac:dyDescent="0.35">
      <c r="B7" s="5" t="s">
        <v>0</v>
      </c>
      <c r="C7" s="5"/>
      <c r="D7" s="6">
        <f>-SUMIFS(ACTUAL!$C:$C,ACTUAL!$A:$A,'A to B'!B7,ACTUAL!$B:$B,ACTUAL!$A$1)</f>
        <v>395645.38</v>
      </c>
      <c r="E7" s="6">
        <f>SUMIFS(BUDGET!C:C,BUDGET!A:A,ACTUAL!$A$1)*VLOOKUP(B7,BUDGET!$J$3:$K$9,2,0)</f>
        <v>377451.80413496518</v>
      </c>
      <c r="F7" s="14">
        <f>+D7-E7</f>
        <v>18193.575865034829</v>
      </c>
      <c r="G7" s="6"/>
      <c r="H7" s="6">
        <f>-SUMIFS(ACTUAL!$C:$C,ACTUAL!$A:$A,'A to B'!B7,ACTUAL!$B:$B,"&lt;="&amp;ACTUAL!$A$1,ACTUAL!$B:$B,"&gt;="&amp;ACTUAL!$A$2)</f>
        <v>1957529</v>
      </c>
      <c r="I7" s="6">
        <f>SUMIFS(BUDGET!C:C,BUDGET!$A:$A,"&lt;="&amp;ACTUAL!$A$1,BUDGET!$A:$A,"&gt;="&amp;ACTUAL!$A$2)*VLOOKUP(B7,BUDGET!$J$3:$K$9,2,0)</f>
        <v>1830484.2645112814</v>
      </c>
      <c r="J7" s="14">
        <f>+H7-I7</f>
        <v>127044.73548871861</v>
      </c>
      <c r="K7" s="29"/>
      <c r="L7" s="29">
        <f>SUM(BUDGET!$C$55:$C$66)*VLOOKUP(B7,BUDGET!$J$3:$K$9,2,0)</f>
        <v>4672155.1034897575</v>
      </c>
      <c r="M7" s="29"/>
      <c r="N7" s="47">
        <f t="shared" ref="N7:N13" si="0">H7/I7-1</f>
        <v>6.940498640267645E-2</v>
      </c>
      <c r="P7" s="43"/>
    </row>
    <row r="8" spans="1:21" x14ac:dyDescent="0.35">
      <c r="B8" t="s">
        <v>2</v>
      </c>
      <c r="D8" s="3">
        <f>-SUMIFS(ACTUAL!$C:$C,ACTUAL!$A:$A,'A to B'!B8,ACTUAL!$B:$B,ACTUAL!$A$1)</f>
        <v>119115.56</v>
      </c>
      <c r="E8" s="3">
        <f>SUMIFS(BUDGET!C:C,BUDGET!A:A,ACTUAL!$A$1)*VLOOKUP(B8,BUDGET!$J$3:$K$9,2,0)</f>
        <v>125817.26804498839</v>
      </c>
      <c r="F8" s="15">
        <f t="shared" ref="F8:F13" si="1">+D8-E8</f>
        <v>-6701.7080449883942</v>
      </c>
      <c r="G8" s="3"/>
      <c r="H8" s="3">
        <f>-SUMIFS(ACTUAL!$C:$C,ACTUAL!$A:$A,'A to B'!B8,ACTUAL!$B:$B,"&lt;="&amp;ACTUAL!$A$1,ACTUAL!$B:$B,"&gt;="&amp;ACTUAL!$A$2)</f>
        <v>642772.08000000007</v>
      </c>
      <c r="I8" s="3">
        <f>SUMIFS(BUDGET!C:C,BUDGET!$A:$A,"&lt;="&amp;ACTUAL!$A$1,BUDGET!$A:$A,"&gt;="&amp;ACTUAL!$A$2)*VLOOKUP(B8,BUDGET!$J$3:$K$9,2,0)</f>
        <v>610161.4215037605</v>
      </c>
      <c r="J8" s="15">
        <f t="shared" ref="J8:J13" si="2">+H8-I8</f>
        <v>32610.658496239572</v>
      </c>
      <c r="K8" s="30"/>
      <c r="L8" s="30">
        <f>SUM(BUDGET!$C$55:$C$66)*VLOOKUP(B8,BUDGET!$J$3:$K$9,2,0)</f>
        <v>1557385.0344965858</v>
      </c>
      <c r="M8" s="30"/>
      <c r="N8" s="48">
        <f t="shared" si="0"/>
        <v>5.3445952737997793E-2</v>
      </c>
      <c r="P8" s="43"/>
    </row>
    <row r="9" spans="1:21" x14ac:dyDescent="0.35">
      <c r="B9" s="5" t="s">
        <v>3</v>
      </c>
      <c r="C9" s="5"/>
      <c r="D9" s="6">
        <f>-SUMIFS(ACTUAL!$C:$C,ACTUAL!$A:$A,'A to B'!B9,ACTUAL!$B:$B,ACTUAL!$A$1)</f>
        <v>57691.48</v>
      </c>
      <c r="E9" s="6">
        <f>SUMIFS(BUDGET!C:C,BUDGET!A:A,ACTUAL!$A$1)*VLOOKUP(B9,BUDGET!$J$3:$K$9,2,0)</f>
        <v>62908.634022494196</v>
      </c>
      <c r="F9" s="14">
        <f t="shared" si="1"/>
        <v>-5217.1540224941928</v>
      </c>
      <c r="G9" s="6"/>
      <c r="H9" s="6">
        <f>-SUMIFS(ACTUAL!$C:$C,ACTUAL!$A:$A,'A to B'!B9,ACTUAL!$B:$B,"&lt;="&amp;ACTUAL!$A$1,ACTUAL!$B:$B,"&gt;="&amp;ACTUAL!$A$2)</f>
        <v>254935.72000000003</v>
      </c>
      <c r="I9" s="6">
        <f>SUMIFS(BUDGET!C:C,BUDGET!$A:$A,"&lt;="&amp;ACTUAL!$A$1,BUDGET!$A:$A,"&gt;="&amp;ACTUAL!$A$2)*VLOOKUP(B9,BUDGET!$J$3:$K$9,2,0)</f>
        <v>305080.71075188025</v>
      </c>
      <c r="J9" s="14">
        <f t="shared" si="2"/>
        <v>-50144.990751880221</v>
      </c>
      <c r="K9" s="29"/>
      <c r="L9" s="29">
        <f>SUM(BUDGET!$C$55:$C$66)*VLOOKUP(B9,BUDGET!$J$3:$K$9,2,0)</f>
        <v>778692.51724829292</v>
      </c>
      <c r="M9" s="29"/>
      <c r="N9" s="47">
        <f t="shared" si="0"/>
        <v>-0.16436631024064563</v>
      </c>
      <c r="P9" s="43"/>
    </row>
    <row r="10" spans="1:21" x14ac:dyDescent="0.35">
      <c r="B10" t="s">
        <v>1</v>
      </c>
      <c r="D10" s="3">
        <f>-SUMIFS(ACTUAL!$C:$C,ACTUAL!$A:$A,'A to B'!B10,ACTUAL!$B:$B,ACTUAL!$A$1)</f>
        <v>21081.99</v>
      </c>
      <c r="E10" s="3">
        <f>SUMIFS(BUDGET!C:C,BUDGET!A:A,ACTUAL!$A$1)*VLOOKUP(B10,BUDGET!$J$3:$K$9,2,0)</f>
        <v>31454.317011247098</v>
      </c>
      <c r="F10" s="15">
        <f t="shared" si="1"/>
        <v>-10372.327011247096</v>
      </c>
      <c r="G10" s="3"/>
      <c r="H10" s="3">
        <f>-SUMIFS(ACTUAL!$C:$C,ACTUAL!$A:$A,'A to B'!B10,ACTUAL!$B:$B,"&lt;="&amp;ACTUAL!$A$1,ACTUAL!$B:$B,"&gt;="&amp;ACTUAL!$A$2)</f>
        <v>113850.19</v>
      </c>
      <c r="I10" s="3">
        <f>SUMIFS(BUDGET!C:C,BUDGET!$A:$A,"&lt;="&amp;ACTUAL!$A$1,BUDGET!$A:$A,"&gt;="&amp;ACTUAL!$A$2)*VLOOKUP(B10,BUDGET!$J$3:$K$9,2,0)</f>
        <v>152540.35537594013</v>
      </c>
      <c r="J10" s="15">
        <f t="shared" si="2"/>
        <v>-38690.165375940123</v>
      </c>
      <c r="K10" s="30"/>
      <c r="L10" s="30">
        <f>SUM(BUDGET!$C$55:$C$66)*VLOOKUP(B10,BUDGET!$J$3:$K$9,2,0)</f>
        <v>389346.25862414646</v>
      </c>
      <c r="M10" s="30"/>
      <c r="N10" s="48">
        <f t="shared" si="0"/>
        <v>-0.25363888317020822</v>
      </c>
      <c r="P10" s="43"/>
    </row>
    <row r="11" spans="1:21" x14ac:dyDescent="0.35">
      <c r="B11" s="5" t="s">
        <v>4</v>
      </c>
      <c r="C11" s="5"/>
      <c r="D11" s="6">
        <f>-SUMIFS(ACTUAL!$C:$C,ACTUAL!$A:$A,'A to B'!B11,ACTUAL!$B:$B,ACTUAL!$A$1)</f>
        <v>35749.89</v>
      </c>
      <c r="E11" s="6">
        <f>SUMIFS(BUDGET!C:C,BUDGET!A:A,ACTUAL!$A$1)*VLOOKUP(B11,BUDGET!$J$3:$K$9,2,0)</f>
        <v>25163.453608997679</v>
      </c>
      <c r="F11" s="14">
        <f t="shared" si="1"/>
        <v>10586.43639100232</v>
      </c>
      <c r="G11" s="6"/>
      <c r="H11" s="6">
        <f>-SUMIFS(ACTUAL!$C:$C,ACTUAL!$A:$A,'A to B'!B11,ACTUAL!$B:$B,"&lt;="&amp;ACTUAL!$A$1,ACTUAL!$B:$B,"&gt;="&amp;ACTUAL!$A$2)</f>
        <v>151144.81</v>
      </c>
      <c r="I11" s="6">
        <f>SUMIFS(BUDGET!C:C,BUDGET!$A:$A,"&lt;="&amp;ACTUAL!$A$1,BUDGET!$A:$A,"&gt;="&amp;ACTUAL!$A$2)*VLOOKUP(B11,BUDGET!$J$3:$K$9,2,0)</f>
        <v>122032.2843007521</v>
      </c>
      <c r="J11" s="14">
        <f t="shared" si="2"/>
        <v>29112.525699247897</v>
      </c>
      <c r="K11" s="29"/>
      <c r="L11" s="29">
        <f>SUM(BUDGET!$C$55:$C$66)*VLOOKUP(B11,BUDGET!$J$3:$K$9,2,0)</f>
        <v>311477.0068993172</v>
      </c>
      <c r="M11" s="29"/>
      <c r="N11" s="47">
        <f t="shared" si="0"/>
        <v>0.23856412969783669</v>
      </c>
      <c r="P11" s="43"/>
    </row>
    <row r="12" spans="1:21" x14ac:dyDescent="0.35">
      <c r="B12" t="s">
        <v>38</v>
      </c>
      <c r="D12" s="3">
        <f>-SUMIFS(ACTUAL!$C:$C,ACTUAL!$A:$A,'A to B'!B12,ACTUAL!$B:$B,ACTUAL!$A$1)</f>
        <v>0</v>
      </c>
      <c r="E12" s="3">
        <f>SUMIFS(BUDGET!C:C,BUDGET!A:A,ACTUAL!$A$1)*VLOOKUP(B12,BUDGET!$J$3:$K$9,2,0)</f>
        <v>0</v>
      </c>
      <c r="F12" s="15">
        <f t="shared" si="1"/>
        <v>0</v>
      </c>
      <c r="G12" s="3"/>
      <c r="H12" s="3">
        <f>-SUMIFS(ACTUAL!$C:$C,ACTUAL!$A:$A,'A to B'!B12,ACTUAL!$B:$B,"&lt;="&amp;ACTUAL!$A$1,ACTUAL!$B:$B,"&gt;="&amp;ACTUAL!$A$2)</f>
        <v>40165.81</v>
      </c>
      <c r="I12" s="3">
        <f>SUMIFS(BUDGET!C:C,BUDGET!$A:$A,"&lt;="&amp;ACTUAL!$A$1,BUDGET!$A:$A,"&gt;="&amp;ACTUAL!$A$2)*VLOOKUP(B12,BUDGET!$J$3:$K$9,2,0)</f>
        <v>0</v>
      </c>
      <c r="J12" s="15">
        <f t="shared" si="2"/>
        <v>40165.81</v>
      </c>
      <c r="K12" s="30"/>
      <c r="L12" s="30">
        <f>SUM(BUDGET!$C$55:$C$66)*VLOOKUP(B12,BUDGET!$J$3:$K$9,2,0)</f>
        <v>0</v>
      </c>
      <c r="M12" s="30"/>
      <c r="N12" s="48">
        <v>0</v>
      </c>
      <c r="P12" s="43"/>
    </row>
    <row r="13" spans="1:21" x14ac:dyDescent="0.35">
      <c r="B13" s="5" t="s">
        <v>5</v>
      </c>
      <c r="C13" s="5"/>
      <c r="D13" s="6">
        <f>-SUMIFS(ACTUAL!$C:$C,ACTUAL!$A:$A,'A to B'!B13,ACTUAL!$B:$B,ACTUAL!$A$1)</f>
        <v>11508.93</v>
      </c>
      <c r="E13" s="6">
        <f>SUMIFS(BUDGET!C:C,BUDGET!A:A,ACTUAL!$A$1)*VLOOKUP(B13,BUDGET!$J$3:$K$9,2,0)</f>
        <v>6290.8634022494198</v>
      </c>
      <c r="F13" s="14">
        <f t="shared" si="1"/>
        <v>5218.0665977505805</v>
      </c>
      <c r="G13" s="6"/>
      <c r="H13" s="6">
        <f>-SUMIFS(ACTUAL!$C:$C,ACTUAL!$A:$A,'A to B'!B13,ACTUAL!$B:$B,"&lt;="&amp;ACTUAL!$A$1,ACTUAL!$B:$B,"&gt;="&amp;ACTUAL!$A$2)</f>
        <v>56495.380000000005</v>
      </c>
      <c r="I13" s="6">
        <f>SUMIFS(BUDGET!C:C,BUDGET!$A:$A,"&lt;="&amp;ACTUAL!$A$1,BUDGET!$A:$A,"&gt;="&amp;ACTUAL!$A$2)*VLOOKUP(B13,BUDGET!$J$3:$K$9,2,0)</f>
        <v>30508.071075188025</v>
      </c>
      <c r="J13" s="14">
        <f t="shared" si="2"/>
        <v>25987.30892481198</v>
      </c>
      <c r="K13" s="29"/>
      <c r="L13" s="29">
        <f>SUM(BUDGET!$C$55:$C$66)*VLOOKUP(B13,BUDGET!$J$3:$K$9,2,0)</f>
        <v>77869.251724829301</v>
      </c>
      <c r="M13" s="29"/>
      <c r="N13" s="47">
        <f t="shared" si="0"/>
        <v>0.85181750300651604</v>
      </c>
      <c r="P13" s="43"/>
      <c r="U13" t="s">
        <v>37</v>
      </c>
    </row>
    <row r="14" spans="1:21" s="1" customFormat="1" ht="15.6" thickBot="1" x14ac:dyDescent="0.4">
      <c r="B14" s="9" t="s">
        <v>6</v>
      </c>
      <c r="D14" s="10">
        <f>SUM(D7:D13)</f>
        <v>640793.2300000001</v>
      </c>
      <c r="E14" s="10">
        <f>SUM(E7:E13)</f>
        <v>629086.34022494184</v>
      </c>
      <c r="F14" s="16">
        <f>SUM(F7:F13)</f>
        <v>11706.889775058047</v>
      </c>
      <c r="G14" s="4"/>
      <c r="H14" s="10">
        <f>SUM(H7:H13)</f>
        <v>3216892.99</v>
      </c>
      <c r="I14" s="10">
        <f>SUM(I7:I13)</f>
        <v>3050807.1075188024</v>
      </c>
      <c r="J14" s="16">
        <f>H14-I14</f>
        <v>166085.88248119783</v>
      </c>
      <c r="K14" s="21"/>
      <c r="L14" s="10">
        <f>SUM(L7:L13)</f>
        <v>7786925.1724829292</v>
      </c>
      <c r="M14" s="39"/>
      <c r="N14" s="40">
        <f>H14/I14-1</f>
        <v>5.4439981496002821E-2</v>
      </c>
    </row>
    <row r="15" spans="1:21" ht="15.6" thickTop="1" x14ac:dyDescent="0.35">
      <c r="B15" s="18"/>
      <c r="D15" s="17"/>
      <c r="E15" s="17"/>
      <c r="F15" s="17"/>
      <c r="G15" s="3"/>
      <c r="H15" s="17"/>
      <c r="I15" s="17"/>
      <c r="J15" s="17"/>
      <c r="K15" s="30"/>
      <c r="L15" s="30"/>
      <c r="N15" s="30"/>
    </row>
    <row r="16" spans="1:21" x14ac:dyDescent="0.35">
      <c r="B16" s="5" t="s">
        <v>7</v>
      </c>
      <c r="C16" s="5"/>
      <c r="D16" s="6">
        <f>-SUMIFS(ACTUAL!$C:$C,ACTUAL!$A:$A,'A to B'!B16,ACTUAL!$B:$B,ACTUAL!$A$1)</f>
        <v>6629.36</v>
      </c>
      <c r="E16" s="6">
        <f>-SUMIFS(BUDGET!D:D,BUDGET!A:A,ACTUAL!$A$1)</f>
        <v>-5440.9565489731494</v>
      </c>
      <c r="F16" s="14">
        <f t="shared" ref="F16:F18" si="3">+D16-E16</f>
        <v>12070.316548973149</v>
      </c>
      <c r="G16" s="6"/>
      <c r="H16" s="6">
        <f>-SUMIFS(ACTUAL!$C:$C,ACTUAL!$A:$A,'A to B'!B16,ACTUAL!$B:$B,"&lt;="&amp;ACTUAL!$A$1,ACTUAL!$B:$B,"&gt;="&amp;ACTUAL!$A$2)</f>
        <v>-22483.7</v>
      </c>
      <c r="I16" s="6">
        <f>-SUMIFS(BUDGET!D:D,BUDGET!$A:$A,"&lt;="&amp;ACTUAL!$A$1,BUDGET!$A:$A,"&gt;="&amp;ACTUAL!$A$2)</f>
        <v>-66930.289560979654</v>
      </c>
      <c r="J16" s="14">
        <f t="shared" ref="J16:J18" si="4">+H16-I16</f>
        <v>44446.589560979657</v>
      </c>
      <c r="K16" s="29"/>
      <c r="L16" s="34">
        <f>-SUM(BUDGET!$D$55:$D$66)</f>
        <v>-161578.81304688091</v>
      </c>
      <c r="M16" s="34"/>
      <c r="N16" s="50">
        <f t="shared" ref="N16:N18" si="5">H16/I16-1</f>
        <v>-0.66407287122947101</v>
      </c>
    </row>
    <row r="17" spans="2:14" x14ac:dyDescent="0.35">
      <c r="B17" t="s">
        <v>8</v>
      </c>
      <c r="D17" s="3">
        <f>-SUMIFS(ACTUAL!$C:$C,ACTUAL!$A:$A,'A to B'!B17,ACTUAL!$B:$B,ACTUAL!$A$1)</f>
        <v>-105100.90000000001</v>
      </c>
      <c r="E17" s="3">
        <f>-SUMIFS(BUDGET!E:E,BUDGET!A:A,ACTUAL!$A$1)</f>
        <v>-87258.189344966959</v>
      </c>
      <c r="F17" s="15">
        <f t="shared" si="3"/>
        <v>-17842.71065503305</v>
      </c>
      <c r="G17" s="3"/>
      <c r="H17" s="3">
        <f>-SUMIFS(ACTUAL!$C:$C,ACTUAL!$A:$A,'A to B'!B17,ACTUAL!$B:$B,"&lt;="&amp;ACTUAL!$A$1,ACTUAL!$B:$B,"&gt;="&amp;ACTUAL!$A$2)</f>
        <v>-549871.74</v>
      </c>
      <c r="I17" s="3">
        <f>-SUMIFS(BUDGET!E:E,BUDGET!$A:$A,"&lt;="&amp;ACTUAL!$A$1,BUDGET!$A:$A,"&gt;="&amp;ACTUAL!$A$2)</f>
        <v>-499573.39129758743</v>
      </c>
      <c r="J17" s="15">
        <f t="shared" si="4"/>
        <v>-50298.348702412564</v>
      </c>
      <c r="K17" s="30"/>
      <c r="L17" s="30">
        <f>-SUM(BUDGET!$E$55:$E$66)</f>
        <v>-1389455.7275188759</v>
      </c>
      <c r="M17" s="30"/>
      <c r="N17" s="48">
        <f t="shared" si="5"/>
        <v>0.10068260155283304</v>
      </c>
    </row>
    <row r="18" spans="2:14" x14ac:dyDescent="0.35">
      <c r="B18" s="5" t="s">
        <v>9</v>
      </c>
      <c r="C18" s="5"/>
      <c r="D18" s="6">
        <f>-SUMIFS(ACTUAL!$C:$C,ACTUAL!$A:$A,'A to B'!B18,ACTUAL!$B:$B,ACTUAL!$A$1)</f>
        <v>-220384.75000000003</v>
      </c>
      <c r="E18" s="6">
        <f>-SUMIFS(BUDGET!F:F,BUDGET!A:A,ACTUAL!$A$1)</f>
        <v>-278854.95420727337</v>
      </c>
      <c r="F18" s="14">
        <f t="shared" si="3"/>
        <v>58470.204207273346</v>
      </c>
      <c r="G18" s="6"/>
      <c r="H18" s="6">
        <f>-SUMIFS(ACTUAL!$C:$C,ACTUAL!$A:$A,'A to B'!B18,ACTUAL!$B:$B,"&lt;="&amp;ACTUAL!$A$1,ACTUAL!$B:$B,"&gt;="&amp;ACTUAL!$A$2)</f>
        <v>-1082146.8</v>
      </c>
      <c r="I18" s="6">
        <f>-SUMIFS(BUDGET!F:F,BUDGET!$A:$A,"&lt;="&amp;ACTUAL!$A$1,BUDGET!$A:$A,"&gt;="&amp;ACTUAL!$A$2)</f>
        <v>-1147557.3113098724</v>
      </c>
      <c r="J18" s="14">
        <f t="shared" si="4"/>
        <v>65410.511309872381</v>
      </c>
      <c r="K18" s="29"/>
      <c r="L18" s="29">
        <f>-SUM(BUDGET!$F$55:$F$66)</f>
        <v>-2731774.5229342426</v>
      </c>
      <c r="M18" s="29"/>
      <c r="N18" s="47">
        <f t="shared" si="5"/>
        <v>-5.6999777409992625E-2</v>
      </c>
    </row>
    <row r="19" spans="2:14" s="1" customFormat="1" ht="15.6" thickBot="1" x14ac:dyDescent="0.4">
      <c r="B19" s="9" t="s">
        <v>10</v>
      </c>
      <c r="D19" s="10">
        <f>SUM(D16:D18)</f>
        <v>-318856.29000000004</v>
      </c>
      <c r="E19" s="10">
        <f>SUM(E16:E18)</f>
        <v>-371554.10010121349</v>
      </c>
      <c r="F19" s="16">
        <f>D19-E19</f>
        <v>52697.810101213458</v>
      </c>
      <c r="G19" s="4"/>
      <c r="H19" s="10">
        <f>SUM(H16:H18)</f>
        <v>-1654502.24</v>
      </c>
      <c r="I19" s="10">
        <f>SUM(I16:I18)</f>
        <v>-1714060.9921684396</v>
      </c>
      <c r="J19" s="16">
        <f>H19-I19</f>
        <v>59558.752168439562</v>
      </c>
      <c r="K19" s="21"/>
      <c r="L19" s="10">
        <f>SUM(L16:L18)</f>
        <v>-4282809.0634999992</v>
      </c>
      <c r="N19" s="40">
        <f>H19/I19-1</f>
        <v>-3.4747160363933438E-2</v>
      </c>
    </row>
    <row r="20" spans="2:14" ht="15.6" thickTop="1" x14ac:dyDescent="0.35">
      <c r="D20" s="3"/>
      <c r="E20" s="3"/>
      <c r="F20" s="3"/>
      <c r="G20" s="3"/>
      <c r="H20" s="3"/>
      <c r="I20" s="3"/>
      <c r="J20" s="3"/>
      <c r="K20" s="3"/>
      <c r="L20" s="3"/>
      <c r="N20" s="3"/>
    </row>
    <row r="21" spans="2:14" s="1" customFormat="1" ht="15.6" thickBot="1" x14ac:dyDescent="0.4">
      <c r="B21" s="9" t="s">
        <v>11</v>
      </c>
      <c r="D21" s="10">
        <f>D14+D19</f>
        <v>321936.94000000006</v>
      </c>
      <c r="E21" s="19">
        <f>E14+E19</f>
        <v>257532.24012372835</v>
      </c>
      <c r="F21" s="16">
        <f>D21-E21</f>
        <v>64404.699876271712</v>
      </c>
      <c r="G21" s="4"/>
      <c r="H21" s="10">
        <f>H14+H19</f>
        <v>1562390.7500000002</v>
      </c>
      <c r="I21" s="19">
        <f>I14+I19</f>
        <v>1336746.1153503628</v>
      </c>
      <c r="J21" s="16">
        <f>H21-I21</f>
        <v>225644.63464963739</v>
      </c>
      <c r="K21" s="21"/>
      <c r="L21" s="10">
        <f>L14+L19</f>
        <v>3504116.10898293</v>
      </c>
      <c r="N21" s="40">
        <f>H21/I21-1</f>
        <v>0.16880141416419647</v>
      </c>
    </row>
    <row r="22" spans="2:14" s="1" customFormat="1" ht="15.6" thickTop="1" x14ac:dyDescent="0.35">
      <c r="B22" s="27" t="s">
        <v>20</v>
      </c>
      <c r="D22" s="25">
        <f>D21/D14</f>
        <v>0.50240377851682361</v>
      </c>
      <c r="E22" s="25">
        <f>E21/E14</f>
        <v>0.40937503114698498</v>
      </c>
      <c r="F22" s="26">
        <f>D22-E22</f>
        <v>9.3028747369838627E-2</v>
      </c>
      <c r="G22" s="4"/>
      <c r="H22" s="25">
        <f>H21/H14</f>
        <v>0.48568315914045995</v>
      </c>
      <c r="I22" s="25">
        <f>I21/I14</f>
        <v>0.43816146620870045</v>
      </c>
      <c r="J22" s="26">
        <f>H22-I22</f>
        <v>4.7521692931759507E-2</v>
      </c>
      <c r="K22" s="31"/>
      <c r="L22" s="25">
        <f>L21/L14</f>
        <v>0.44999997192288571</v>
      </c>
      <c r="N22" s="25"/>
    </row>
    <row r="23" spans="2:14" s="1" customFormat="1" x14ac:dyDescent="0.35">
      <c r="D23" s="21"/>
      <c r="E23" s="21"/>
      <c r="F23" s="21"/>
      <c r="G23" s="21"/>
      <c r="H23" s="21"/>
      <c r="I23" s="21"/>
      <c r="J23" s="21"/>
      <c r="K23" s="21"/>
      <c r="L23" s="21"/>
      <c r="N23" s="21"/>
    </row>
    <row r="24" spans="2:14" x14ac:dyDescent="0.35">
      <c r="B24" s="22" t="s">
        <v>12</v>
      </c>
      <c r="D24" s="23">
        <f>-SUMIFS(ACTUAL!$C:$C,ACTUAL!$A:$A,'A to B'!B24,ACTUAL!$B:$B,ACTUAL!$A$1)</f>
        <v>25518.75</v>
      </c>
      <c r="E24" s="23">
        <f>-SUMIFS(BUDGET!G:G,BUDGET!A:A,ACTUAL!$A$1)</f>
        <v>18762</v>
      </c>
      <c r="F24" s="24">
        <f t="shared" ref="F24:F25" si="6">+D24-E24</f>
        <v>6756.75</v>
      </c>
      <c r="G24" s="7"/>
      <c r="H24" s="23">
        <f>-SUMIFS(ACTUAL!$C:$C,ACTUAL!$A:$A,'A to B'!B24,ACTUAL!$B:$B,"&lt;="&amp;ACTUAL!$A$1,ACTUAL!$B:$B,"&gt;="&amp;ACTUAL!$A$2)</f>
        <v>133026.21</v>
      </c>
      <c r="I24" s="23">
        <f>-SUMIFS(BUDGET!G:G,BUDGET!$A:$A,"&lt;="&amp;ACTUAL!$A$1,BUDGET!$A:$A,"&gt;="&amp;ACTUAL!$A$2)</f>
        <v>93810</v>
      </c>
      <c r="J24" s="24">
        <f t="shared" ref="J24:J25" si="7">+H24-I24</f>
        <v>39216.209999999992</v>
      </c>
      <c r="K24" s="32"/>
      <c r="L24" s="23">
        <f>-SUM(BUDGET!$G$55:$G$66)</f>
        <v>225144</v>
      </c>
      <c r="N24" s="51">
        <f t="shared" ref="N24:N25" si="8">H24/I24-1</f>
        <v>0.41803869523504944</v>
      </c>
    </row>
    <row r="25" spans="2:14" x14ac:dyDescent="0.35">
      <c r="B25" s="5" t="s">
        <v>13</v>
      </c>
      <c r="C25" s="5"/>
      <c r="D25" s="6">
        <f>-SUMIFS(ACTUAL!$C:$C,ACTUAL!$A:$A,'A to B'!B25,ACTUAL!$B:$B,ACTUAL!$A$1)</f>
        <v>-86093.95</v>
      </c>
      <c r="E25" s="6">
        <f>-SUMIFS(BUDGET!H:H,BUDGET!A:A,ACTUAL!$A$1)</f>
        <v>-81781.224229242463</v>
      </c>
      <c r="F25" s="14">
        <f t="shared" si="6"/>
        <v>-4312.7257707575336</v>
      </c>
      <c r="G25" s="6"/>
      <c r="H25" s="6">
        <f>-SUMIFS(ACTUAL!$C:$C,ACTUAL!$A:$A,'A to B'!B25,ACTUAL!$B:$B,"&lt;="&amp;ACTUAL!$A$1,ACTUAL!$B:$B,"&gt;="&amp;ACTUAL!$A$2)</f>
        <v>-411633.3899999999</v>
      </c>
      <c r="I25" s="6">
        <f>-SUMIFS(BUDGET!H:H,BUDGET!$A:$A,"&lt;="&amp;ACTUAL!$A$1,BUDGET!$A:$A,"&gt;="&amp;ACTUAL!$A$2)</f>
        <v>-396604.92397744436</v>
      </c>
      <c r="J25" s="14">
        <f t="shared" si="7"/>
        <v>-15028.466022555542</v>
      </c>
      <c r="K25" s="29"/>
      <c r="L25" s="29">
        <f>-SUM(BUDGET!$H$55:$H$66)</f>
        <v>-1012300.272422781</v>
      </c>
      <c r="M25" s="29"/>
      <c r="N25" s="47">
        <f t="shared" si="8"/>
        <v>3.7892787290281449E-2</v>
      </c>
    </row>
    <row r="26" spans="2:14" s="1" customFormat="1" ht="15.6" thickBot="1" x14ac:dyDescent="0.4">
      <c r="B26" s="9" t="s">
        <v>14</v>
      </c>
      <c r="D26" s="19">
        <f>SUM(D21,D24:D25)</f>
        <v>261361.74000000005</v>
      </c>
      <c r="E26" s="19">
        <f>SUM(E21,E24:E25)</f>
        <v>194513.01589448587</v>
      </c>
      <c r="F26" s="20">
        <f>SUM(F21,F24:F25)</f>
        <v>66848.724105514179</v>
      </c>
      <c r="G26" s="8"/>
      <c r="H26" s="19">
        <f t="shared" ref="H26:J26" si="9">SUM(H21,H24:H25)</f>
        <v>1283783.5700000003</v>
      </c>
      <c r="I26" s="19">
        <f t="shared" si="9"/>
        <v>1033951.1913729184</v>
      </c>
      <c r="J26" s="20">
        <f t="shared" si="9"/>
        <v>249832.37862708181</v>
      </c>
      <c r="K26" s="33"/>
      <c r="L26" s="19">
        <f>SUM(L21,L24:L25)</f>
        <v>2716959.8365601487</v>
      </c>
      <c r="N26" s="49">
        <f>H26/I26-1</f>
        <v>0.2416287932270238</v>
      </c>
    </row>
    <row r="27" spans="2:14" ht="15.6" thickTop="1" x14ac:dyDescent="0.35"/>
  </sheetData>
  <mergeCells count="2">
    <mergeCell ref="D5:F5"/>
    <mergeCell ref="H5:J5"/>
  </mergeCells>
  <pageMargins left="0.3" right="0.3" top="0.3" bottom="0.3" header="0.3" footer="0.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8377-A074-41C5-A21F-B3D2619130B0}">
  <sheetPr>
    <pageSetUpPr fitToPage="1"/>
  </sheetPr>
  <dimension ref="A1:V29"/>
  <sheetViews>
    <sheetView showGridLines="0" topLeftCell="A6" zoomScale="94" workbookViewId="0">
      <selection activeCell="I24" sqref="I24"/>
    </sheetView>
  </sheetViews>
  <sheetFormatPr defaultRowHeight="15" x14ac:dyDescent="0.35"/>
  <cols>
    <col min="1" max="1" width="2.88671875" customWidth="1"/>
    <col min="2" max="2" width="14.33203125" bestFit="1" customWidth="1"/>
    <col min="3" max="3" width="2.88671875" customWidth="1"/>
    <col min="4" max="6" width="12.109375" customWidth="1"/>
    <col min="7" max="7" width="2.88671875" customWidth="1"/>
    <col min="8" max="10" width="12.109375" customWidth="1"/>
    <col min="11" max="11" width="2.88671875" customWidth="1"/>
    <col min="12" max="12" width="12.109375" hidden="1" customWidth="1"/>
    <col min="13" max="13" width="2.88671875" customWidth="1"/>
    <col min="14" max="14" width="11.88671875" customWidth="1"/>
  </cols>
  <sheetData>
    <row r="1" spans="1:22" ht="29.4" x14ac:dyDescent="0.65">
      <c r="A1" s="35" t="s">
        <v>25</v>
      </c>
    </row>
    <row r="2" spans="1:22" x14ac:dyDescent="0.35">
      <c r="A2" t="str">
        <f>'A to B'!A2</f>
        <v>As of 31 August 2026</v>
      </c>
    </row>
    <row r="3" spans="1:22" x14ac:dyDescent="0.35">
      <c r="A3" t="s">
        <v>21</v>
      </c>
    </row>
    <row r="5" spans="1:22" x14ac:dyDescent="0.35">
      <c r="D5" s="42" t="s">
        <v>18</v>
      </c>
      <c r="E5" s="42"/>
      <c r="F5" s="42"/>
      <c r="H5" s="42" t="s">
        <v>19</v>
      </c>
      <c r="I5" s="42"/>
      <c r="J5" s="42"/>
      <c r="K5" s="2"/>
      <c r="L5" s="2" t="s">
        <v>22</v>
      </c>
      <c r="N5" s="2" t="s">
        <v>35</v>
      </c>
    </row>
    <row r="6" spans="1:22" x14ac:dyDescent="0.35">
      <c r="B6" s="11"/>
      <c r="D6" s="12" t="s">
        <v>15</v>
      </c>
      <c r="E6" s="12" t="s">
        <v>23</v>
      </c>
      <c r="F6" s="13" t="s">
        <v>17</v>
      </c>
      <c r="G6" s="1"/>
      <c r="H6" s="12" t="s">
        <v>15</v>
      </c>
      <c r="I6" s="12" t="s">
        <v>23</v>
      </c>
      <c r="J6" s="13" t="s">
        <v>17</v>
      </c>
      <c r="K6" s="28"/>
      <c r="L6" s="12" t="s">
        <v>23</v>
      </c>
      <c r="N6" s="12" t="s">
        <v>33</v>
      </c>
    </row>
    <row r="7" spans="1:22" x14ac:dyDescent="0.35">
      <c r="B7" s="5" t="s">
        <v>0</v>
      </c>
      <c r="C7" s="5"/>
      <c r="D7" s="6">
        <f>'A to B'!D7</f>
        <v>395645.38</v>
      </c>
      <c r="E7" s="6">
        <f>-SUMIFS(ACTUAL!$C:$C,ACTUAL!$A:$A,'A to PY'!B7,ACTUAL!$B:$B,EDATE(ACTUAL!$A$1,-12))</f>
        <v>355833.33</v>
      </c>
      <c r="F7" s="14">
        <f t="shared" ref="F7:F13" si="0">D7-E7</f>
        <v>39812.049999999988</v>
      </c>
      <c r="G7" s="6"/>
      <c r="H7" s="6">
        <f>'A to B'!H7</f>
        <v>1957529</v>
      </c>
      <c r="I7" s="6">
        <f>-SUMIFS(ACTUAL!$C:$C,ACTUAL!$A:$A,'A to PY'!B7,ACTUAL!$B:$B,"&lt;="&amp;EDATE(ACTUAL!$A$1,-12),ACTUAL!$B:$B,"&gt;="&amp;EDATE(ACTUAL!$A$2,-12))</f>
        <v>1709628.28</v>
      </c>
      <c r="J7" s="14">
        <f t="shared" ref="J7:J13" si="1">H7-I7</f>
        <v>247900.71999999997</v>
      </c>
      <c r="K7" s="29"/>
      <c r="L7" s="29">
        <f t="shared" ref="L7:L13" si="2">I7</f>
        <v>1709628.28</v>
      </c>
      <c r="M7" s="29"/>
      <c r="N7" s="47">
        <f t="shared" ref="N7:N13" si="3">H7/I7-1</f>
        <v>0.14500270199086795</v>
      </c>
      <c r="P7" s="43"/>
      <c r="Q7" s="43"/>
      <c r="T7" s="43"/>
      <c r="U7" s="43"/>
      <c r="V7" s="44"/>
    </row>
    <row r="8" spans="1:22" x14ac:dyDescent="0.35">
      <c r="B8" t="s">
        <v>2</v>
      </c>
      <c r="D8" s="3">
        <f>'A to B'!D8</f>
        <v>119115.56</v>
      </c>
      <c r="E8" s="3">
        <f>-SUMIFS(ACTUAL!$C:$C,ACTUAL!$A:$A,'A to PY'!B8,ACTUAL!$B:$B,EDATE(ACTUAL!$A$1,-12))</f>
        <v>118759.92</v>
      </c>
      <c r="F8" s="15">
        <f t="shared" si="0"/>
        <v>355.63999999999942</v>
      </c>
      <c r="G8" s="3"/>
      <c r="H8" s="3">
        <f>'A to B'!H8</f>
        <v>642772.08000000007</v>
      </c>
      <c r="I8" s="3">
        <f>-SUMIFS(ACTUAL!$C:$C,ACTUAL!$A:$A,'A to PY'!B8,ACTUAL!$B:$B,"&lt;="&amp;EDATE(ACTUAL!$A$1,-12),ACTUAL!$B:$B,"&gt;="&amp;EDATE(ACTUAL!$A$2,-12))</f>
        <v>581353.71000000008</v>
      </c>
      <c r="J8" s="15">
        <f t="shared" si="1"/>
        <v>61418.369999999995</v>
      </c>
      <c r="K8" s="30"/>
      <c r="L8" s="30">
        <f t="shared" si="2"/>
        <v>581353.71000000008</v>
      </c>
      <c r="M8" s="30"/>
      <c r="N8" s="48">
        <f t="shared" si="3"/>
        <v>0.10564716272301755</v>
      </c>
      <c r="P8" s="43"/>
      <c r="Q8" s="43"/>
      <c r="T8" s="43"/>
      <c r="U8" s="43"/>
      <c r="V8" s="44"/>
    </row>
    <row r="9" spans="1:22" x14ac:dyDescent="0.35">
      <c r="B9" s="5" t="s">
        <v>3</v>
      </c>
      <c r="C9" s="5"/>
      <c r="D9" s="6">
        <f>'A to B'!D9</f>
        <v>57691.48</v>
      </c>
      <c r="E9" s="6">
        <f>-SUMIFS(ACTUAL!$C:$C,ACTUAL!$A:$A,'A to PY'!B9,ACTUAL!$B:$B,EDATE(ACTUAL!$A$1,-12))</f>
        <v>33811.25</v>
      </c>
      <c r="F9" s="14">
        <f t="shared" si="0"/>
        <v>23880.230000000003</v>
      </c>
      <c r="G9" s="6"/>
      <c r="H9" s="6">
        <f>'A to B'!H9</f>
        <v>254935.72000000003</v>
      </c>
      <c r="I9" s="6">
        <f>-SUMIFS(ACTUAL!$C:$C,ACTUAL!$A:$A,'A to PY'!B9,ACTUAL!$B:$B,"&lt;="&amp;EDATE(ACTUAL!$A$1,-12),ACTUAL!$B:$B,"&gt;="&amp;EDATE(ACTUAL!$A$2,-12))</f>
        <v>176236.79999999999</v>
      </c>
      <c r="J9" s="14">
        <f t="shared" si="1"/>
        <v>78698.920000000042</v>
      </c>
      <c r="K9" s="29"/>
      <c r="L9" s="29">
        <f t="shared" si="2"/>
        <v>176236.79999999999</v>
      </c>
      <c r="M9" s="29"/>
      <c r="N9" s="47">
        <f t="shared" si="3"/>
        <v>0.44655213894033507</v>
      </c>
      <c r="P9" s="43"/>
      <c r="Q9" s="43"/>
      <c r="T9" s="43"/>
      <c r="U9" s="43"/>
      <c r="V9" s="44"/>
    </row>
    <row r="10" spans="1:22" x14ac:dyDescent="0.35">
      <c r="B10" t="s">
        <v>1</v>
      </c>
      <c r="D10" s="3">
        <f>'A to B'!D10</f>
        <v>21081.99</v>
      </c>
      <c r="E10" s="3">
        <f>-SUMIFS(ACTUAL!$C:$C,ACTUAL!$A:$A,'A to PY'!B10,ACTUAL!$B:$B,EDATE(ACTUAL!$A$1,-12))</f>
        <v>18067.490000000002</v>
      </c>
      <c r="F10" s="15">
        <f t="shared" si="0"/>
        <v>3014.5</v>
      </c>
      <c r="G10" s="3"/>
      <c r="H10" s="3">
        <f>'A to B'!H10</f>
        <v>113850.19</v>
      </c>
      <c r="I10" s="3">
        <f>-SUMIFS(ACTUAL!$C:$C,ACTUAL!$A:$A,'A to PY'!B10,ACTUAL!$B:$B,"&lt;="&amp;EDATE(ACTUAL!$A$1,-12),ACTUAL!$B:$B,"&gt;="&amp;EDATE(ACTUAL!$A$2,-12))</f>
        <v>75726.45</v>
      </c>
      <c r="J10" s="15">
        <f t="shared" si="1"/>
        <v>38123.740000000005</v>
      </c>
      <c r="K10" s="30"/>
      <c r="L10" s="30">
        <f t="shared" si="2"/>
        <v>75726.45</v>
      </c>
      <c r="M10" s="30"/>
      <c r="N10" s="48">
        <f t="shared" si="3"/>
        <v>0.50344021144527451</v>
      </c>
      <c r="P10" s="43"/>
      <c r="Q10" s="43"/>
      <c r="T10" s="43"/>
      <c r="U10" s="43"/>
      <c r="V10" s="44"/>
    </row>
    <row r="11" spans="1:22" x14ac:dyDescent="0.35">
      <c r="B11" s="5" t="s">
        <v>4</v>
      </c>
      <c r="C11" s="5"/>
      <c r="D11" s="6">
        <f>'A to B'!D11</f>
        <v>35749.89</v>
      </c>
      <c r="E11" s="6">
        <f>-SUMIFS(ACTUAL!$C:$C,ACTUAL!$A:$A,'A to PY'!B11,ACTUAL!$B:$B,EDATE(ACTUAL!$A$1,-12))</f>
        <v>23790.9</v>
      </c>
      <c r="F11" s="14">
        <f t="shared" si="0"/>
        <v>11958.989999999998</v>
      </c>
      <c r="G11" s="6"/>
      <c r="H11" s="6">
        <f>'A to B'!H11</f>
        <v>151144.81</v>
      </c>
      <c r="I11" s="6">
        <f>-SUMIFS(ACTUAL!$C:$C,ACTUAL!$A:$A,'A to PY'!B11,ACTUAL!$B:$B,"&lt;="&amp;EDATE(ACTUAL!$A$1,-12),ACTUAL!$B:$B,"&gt;="&amp;EDATE(ACTUAL!$A$2,-12))</f>
        <v>114411.27</v>
      </c>
      <c r="J11" s="14">
        <f t="shared" si="1"/>
        <v>36733.539999999994</v>
      </c>
      <c r="K11" s="29"/>
      <c r="L11" s="29">
        <f t="shared" si="2"/>
        <v>114411.27</v>
      </c>
      <c r="M11" s="29"/>
      <c r="N11" s="47">
        <f t="shared" si="3"/>
        <v>0.32106574815575417</v>
      </c>
      <c r="P11" s="43"/>
      <c r="Q11" s="43"/>
      <c r="T11" s="43"/>
      <c r="U11" s="43"/>
      <c r="V11" s="44"/>
    </row>
    <row r="12" spans="1:22" x14ac:dyDescent="0.35">
      <c r="B12" t="s">
        <v>38</v>
      </c>
      <c r="D12" s="3">
        <f>'A to B'!D12</f>
        <v>0</v>
      </c>
      <c r="E12" s="3">
        <f>-SUMIFS(ACTUAL!$C:$C,ACTUAL!$A:$A,'A to PY'!B12,ACTUAL!$B:$B,EDATE(ACTUAL!$A$1,-12))</f>
        <v>0</v>
      </c>
      <c r="F12" s="15">
        <f t="shared" ref="F12" si="4">D12-E12</f>
        <v>0</v>
      </c>
      <c r="G12" s="3"/>
      <c r="H12" s="3">
        <f>'A to B'!H12</f>
        <v>40165.81</v>
      </c>
      <c r="I12" s="3">
        <f>-SUMIFS(ACTUAL!$C:$C,ACTUAL!$A:$A,'A to PY'!B12,ACTUAL!$B:$B,"&lt;="&amp;EDATE(ACTUAL!$A$1,-12),ACTUAL!$B:$B,"&gt;="&amp;EDATE(ACTUAL!$A$2,-12))</f>
        <v>0</v>
      </c>
      <c r="J12" s="15">
        <f t="shared" ref="J12" si="5">H12-I12</f>
        <v>40165.81</v>
      </c>
      <c r="K12" s="30"/>
      <c r="L12" s="30">
        <f t="shared" ref="L12" si="6">I12</f>
        <v>0</v>
      </c>
      <c r="M12" s="30"/>
      <c r="N12" s="48">
        <v>0</v>
      </c>
      <c r="P12" s="43"/>
      <c r="Q12" s="43"/>
      <c r="T12" s="43"/>
      <c r="U12" s="43"/>
      <c r="V12" s="44"/>
    </row>
    <row r="13" spans="1:22" x14ac:dyDescent="0.35">
      <c r="B13" s="5" t="s">
        <v>5</v>
      </c>
      <c r="C13" s="5"/>
      <c r="D13" s="6">
        <f>'A to B'!D13</f>
        <v>11508.93</v>
      </c>
      <c r="E13" s="6">
        <f>-SUMIFS(ACTUAL!$C:$C,ACTUAL!$A:$A,'A to PY'!B13,ACTUAL!$B:$B,EDATE(ACTUAL!$A$1,-12))</f>
        <v>13678.47</v>
      </c>
      <c r="F13" s="14">
        <f t="shared" si="0"/>
        <v>-2169.5399999999991</v>
      </c>
      <c r="G13" s="6"/>
      <c r="H13" s="6">
        <f>'A to B'!H13</f>
        <v>56495.380000000005</v>
      </c>
      <c r="I13" s="6">
        <f>-SUMIFS(ACTUAL!$C:$C,ACTUAL!$A:$A,'A to PY'!B13,ACTUAL!$B:$B,"&lt;="&amp;EDATE(ACTUAL!$A$1,-12),ACTUAL!$B:$B,"&gt;="&amp;EDATE(ACTUAL!$A$2,-12))</f>
        <v>55679.24</v>
      </c>
      <c r="J13" s="14">
        <f t="shared" si="1"/>
        <v>816.14000000000669</v>
      </c>
      <c r="K13" s="29"/>
      <c r="L13" s="29">
        <f t="shared" si="2"/>
        <v>55679.24</v>
      </c>
      <c r="M13" s="29"/>
      <c r="N13" s="47">
        <f t="shared" si="3"/>
        <v>1.4657886853340685E-2</v>
      </c>
      <c r="P13" s="43"/>
      <c r="Q13" s="43"/>
      <c r="T13" s="43"/>
      <c r="U13" s="43"/>
      <c r="V13" s="44"/>
    </row>
    <row r="14" spans="1:22" s="1" customFormat="1" ht="15.6" thickBot="1" x14ac:dyDescent="0.4">
      <c r="B14" s="9" t="s">
        <v>6</v>
      </c>
      <c r="D14" s="10">
        <f>SUM(D7:D13)</f>
        <v>640793.2300000001</v>
      </c>
      <c r="E14" s="10">
        <f>SUM(E7:E13)</f>
        <v>563941.36</v>
      </c>
      <c r="F14" s="16">
        <f>D14-E14</f>
        <v>76851.870000000112</v>
      </c>
      <c r="G14" s="4"/>
      <c r="H14" s="10">
        <f>SUM(H7:H13)</f>
        <v>3216892.99</v>
      </c>
      <c r="I14" s="10">
        <f>SUM(I7:I13)</f>
        <v>2713035.7500000005</v>
      </c>
      <c r="J14" s="16">
        <f>H14-I14</f>
        <v>503857.23999999976</v>
      </c>
      <c r="K14" s="21"/>
      <c r="L14" s="10">
        <f>SUM(L7:L13)</f>
        <v>2713035.7500000005</v>
      </c>
      <c r="M14" s="39"/>
      <c r="N14" s="40">
        <f>H14/I14-1</f>
        <v>0.1857171399234232</v>
      </c>
    </row>
    <row r="15" spans="1:22" ht="15.6" thickTop="1" x14ac:dyDescent="0.35">
      <c r="B15" s="18"/>
      <c r="D15" s="17"/>
      <c r="E15" s="17"/>
      <c r="F15" s="17"/>
      <c r="G15" s="3"/>
      <c r="H15" s="17"/>
      <c r="I15" s="17"/>
      <c r="J15" s="17"/>
      <c r="K15" s="30"/>
      <c r="L15" s="30"/>
      <c r="N15" s="30"/>
    </row>
    <row r="16" spans="1:22" x14ac:dyDescent="0.35">
      <c r="B16" s="5" t="s">
        <v>7</v>
      </c>
      <c r="C16" s="5"/>
      <c r="D16" s="6">
        <f>'A to B'!D16</f>
        <v>6629.36</v>
      </c>
      <c r="E16" s="6">
        <f>-SUMIFS(ACTUAL!$C:$C,ACTUAL!$A:$A,'A to PY'!B16,ACTUAL!$B:$B,EDATE(ACTUAL!$A$1,-12))</f>
        <v>-2744.64</v>
      </c>
      <c r="F16" s="14">
        <f t="shared" ref="F16:F19" si="7">D16-E16</f>
        <v>9374</v>
      </c>
      <c r="G16" s="6"/>
      <c r="H16" s="6">
        <f>'A to B'!H16</f>
        <v>-22483.7</v>
      </c>
      <c r="I16" s="6">
        <f>-SUMIFS(ACTUAL!$C:$C,ACTUAL!$A:$A,'A to PY'!B16,ACTUAL!$B:$B,"&lt;="&amp;EDATE(ACTUAL!$A$1,-12),ACTUAL!$B:$B,"&gt;="&amp;EDATE(ACTUAL!$A$2,-12))</f>
        <v>-7191.0300000000007</v>
      </c>
      <c r="J16" s="14">
        <f t="shared" ref="J16:J19" si="8">H16-I16</f>
        <v>-15292.67</v>
      </c>
      <c r="K16" s="29"/>
      <c r="L16" s="34">
        <f t="shared" ref="L16:L18" si="9">I16</f>
        <v>-7191.0300000000007</v>
      </c>
      <c r="M16" s="34"/>
      <c r="N16" s="50">
        <f t="shared" ref="N16:N18" si="10">H16/I16-1</f>
        <v>2.1266313726962616</v>
      </c>
    </row>
    <row r="17" spans="2:14" x14ac:dyDescent="0.35">
      <c r="B17" t="s">
        <v>8</v>
      </c>
      <c r="D17" s="3">
        <f>'A to B'!D17</f>
        <v>-105100.90000000001</v>
      </c>
      <c r="E17" s="3">
        <f>-SUMIFS(ACTUAL!$C:$C,ACTUAL!$A:$A,'A to PY'!B17,ACTUAL!$B:$B,EDATE(ACTUAL!$A$1,-12))</f>
        <v>-60816.31</v>
      </c>
      <c r="F17" s="15">
        <f t="shared" si="7"/>
        <v>-44284.590000000011</v>
      </c>
      <c r="G17" s="3"/>
      <c r="H17" s="3">
        <f>'A to B'!H17</f>
        <v>-549871.74</v>
      </c>
      <c r="I17" s="3">
        <f>-SUMIFS(ACTUAL!$C:$C,ACTUAL!$A:$A,'A to PY'!B17,ACTUAL!$B:$B,"&lt;="&amp;EDATE(ACTUAL!$A$1,-12),ACTUAL!$B:$B,"&gt;="&amp;EDATE(ACTUAL!$A$2,-12))</f>
        <v>-410939.26</v>
      </c>
      <c r="J17" s="15">
        <f t="shared" si="8"/>
        <v>-138932.47999999998</v>
      </c>
      <c r="K17" s="30"/>
      <c r="L17" s="30">
        <f t="shared" si="9"/>
        <v>-410939.26</v>
      </c>
      <c r="M17" s="30"/>
      <c r="N17" s="48">
        <f t="shared" si="10"/>
        <v>0.33808519536439507</v>
      </c>
    </row>
    <row r="18" spans="2:14" x14ac:dyDescent="0.35">
      <c r="B18" s="5" t="s">
        <v>9</v>
      </c>
      <c r="C18" s="5"/>
      <c r="D18" s="6">
        <f>'A to B'!D18</f>
        <v>-220384.75000000003</v>
      </c>
      <c r="E18" s="6">
        <f>-SUMIFS(ACTUAL!$C:$C,ACTUAL!$A:$A,'A to PY'!B18,ACTUAL!$B:$B,EDATE(ACTUAL!$A$1,-12))</f>
        <v>-188085.27000000002</v>
      </c>
      <c r="F18" s="14">
        <f t="shared" si="7"/>
        <v>-32299.48000000001</v>
      </c>
      <c r="G18" s="6"/>
      <c r="H18" s="6">
        <f>'A to B'!H18</f>
        <v>-1082146.8</v>
      </c>
      <c r="I18" s="6">
        <f>-SUMIFS(ACTUAL!$C:$C,ACTUAL!$A:$A,'A to PY'!B18,ACTUAL!$B:$B,"&lt;="&amp;EDATE(ACTUAL!$A$1,-12),ACTUAL!$B:$B,"&gt;="&amp;EDATE(ACTUAL!$A$2,-12))</f>
        <v>-1007071.75</v>
      </c>
      <c r="J18" s="14">
        <f t="shared" si="8"/>
        <v>-75075.050000000047</v>
      </c>
      <c r="K18" s="29"/>
      <c r="L18" s="29">
        <f t="shared" si="9"/>
        <v>-1007071.75</v>
      </c>
      <c r="M18" s="29"/>
      <c r="N18" s="47">
        <f t="shared" si="10"/>
        <v>7.4547866127711471E-2</v>
      </c>
    </row>
    <row r="19" spans="2:14" s="1" customFormat="1" ht="15.6" thickBot="1" x14ac:dyDescent="0.4">
      <c r="B19" s="9" t="s">
        <v>10</v>
      </c>
      <c r="D19" s="10">
        <f>SUM(D16:D18)</f>
        <v>-318856.29000000004</v>
      </c>
      <c r="E19" s="10">
        <f>SUM(E16:E18)</f>
        <v>-251646.22000000003</v>
      </c>
      <c r="F19" s="16">
        <f t="shared" si="7"/>
        <v>-67210.070000000007</v>
      </c>
      <c r="G19" s="4"/>
      <c r="H19" s="10">
        <f>SUM(H16:H18)</f>
        <v>-1654502.24</v>
      </c>
      <c r="I19" s="10">
        <f>SUM(I16:I18)</f>
        <v>-1425202.04</v>
      </c>
      <c r="J19" s="16">
        <f t="shared" si="8"/>
        <v>-229300.19999999995</v>
      </c>
      <c r="K19" s="21"/>
      <c r="L19" s="10">
        <f>SUM(L16:L18)</f>
        <v>-1425202.04</v>
      </c>
      <c r="N19" s="40">
        <f>H19/I19-1</f>
        <v>0.16088960972859678</v>
      </c>
    </row>
    <row r="20" spans="2:14" ht="15.6" thickTop="1" x14ac:dyDescent="0.35">
      <c r="D20" s="3"/>
      <c r="E20" s="3"/>
      <c r="F20" s="3"/>
      <c r="G20" s="3"/>
      <c r="H20" s="3"/>
      <c r="I20" s="3"/>
      <c r="J20" s="3"/>
      <c r="K20" s="3"/>
      <c r="L20" s="3"/>
      <c r="N20" s="3"/>
    </row>
    <row r="21" spans="2:14" s="1" customFormat="1" ht="15.6" thickBot="1" x14ac:dyDescent="0.4">
      <c r="B21" s="9" t="s">
        <v>11</v>
      </c>
      <c r="D21" s="10">
        <f>D14+D19</f>
        <v>321936.94000000006</v>
      </c>
      <c r="E21" s="10">
        <f>E14+E19</f>
        <v>312295.13999999996</v>
      </c>
      <c r="F21" s="16">
        <f>D21-E21</f>
        <v>9641.8000000001048</v>
      </c>
      <c r="G21" s="4"/>
      <c r="H21" s="10">
        <f>H14+H19</f>
        <v>1562390.7500000002</v>
      </c>
      <c r="I21" s="10">
        <f>I14+I19</f>
        <v>1287833.7100000004</v>
      </c>
      <c r="J21" s="16">
        <f>H21-I21</f>
        <v>274557.0399999998</v>
      </c>
      <c r="K21" s="21"/>
      <c r="L21" s="10">
        <f>L14+L19</f>
        <v>1287833.7100000004</v>
      </c>
      <c r="N21" s="40">
        <f>H21/I21-1</f>
        <v>0.21319292845657833</v>
      </c>
    </row>
    <row r="22" spans="2:14" s="1" customFormat="1" ht="15.6" thickTop="1" x14ac:dyDescent="0.35">
      <c r="B22" s="27" t="s">
        <v>20</v>
      </c>
      <c r="D22" s="25">
        <f>D21/D14</f>
        <v>0.50240377851682361</v>
      </c>
      <c r="E22" s="25">
        <f>E21/E14</f>
        <v>0.55377236385002859</v>
      </c>
      <c r="F22" s="26">
        <f>D22-E22</f>
        <v>-5.1368585333204986E-2</v>
      </c>
      <c r="G22" s="4"/>
      <c r="H22" s="25">
        <f>H21/H14</f>
        <v>0.48568315914045995</v>
      </c>
      <c r="I22" s="25">
        <f>I21/I14</f>
        <v>0.47468364911888838</v>
      </c>
      <c r="J22" s="26">
        <f>H22-I22</f>
        <v>1.0999510021571568E-2</v>
      </c>
      <c r="K22" s="31"/>
      <c r="L22" s="25">
        <f>L21/L14</f>
        <v>0.47468364911888838</v>
      </c>
      <c r="N22" s="25"/>
    </row>
    <row r="23" spans="2:14" s="1" customFormat="1" x14ac:dyDescent="0.35">
      <c r="D23" s="21"/>
      <c r="E23" s="21"/>
      <c r="F23" s="21"/>
      <c r="G23" s="21"/>
      <c r="H23" s="21"/>
      <c r="I23" s="21"/>
      <c r="J23" s="21"/>
      <c r="K23" s="21"/>
      <c r="L23" s="21"/>
      <c r="N23" s="21"/>
    </row>
    <row r="24" spans="2:14" x14ac:dyDescent="0.35">
      <c r="B24" s="22" t="s">
        <v>12</v>
      </c>
      <c r="D24" s="23">
        <f>'A to B'!D24</f>
        <v>25518.75</v>
      </c>
      <c r="E24" s="23">
        <f>-SUMIFS(ACTUAL!$C:$C,ACTUAL!$A:$A,'A to PY'!B24,ACTUAL!$B:$B,EDATE(ACTUAL!$A$1,-12))</f>
        <v>15566.35</v>
      </c>
      <c r="F24" s="24">
        <f t="shared" ref="F24:F26" si="11">D24-E24</f>
        <v>9952.4</v>
      </c>
      <c r="G24" s="7"/>
      <c r="H24" s="23">
        <f>'A to B'!H24</f>
        <v>133026.21</v>
      </c>
      <c r="I24" s="23">
        <f>-SUMIFS(ACTUAL!$C:$C,ACTUAL!$A:$A,'A to PY'!B24,ACTUAL!$B:$B,"&lt;="&amp;EDATE(ACTUAL!$A$1,-12),ACTUAL!$B:$B,"&gt;="&amp;EDATE(ACTUAL!$A$2,-12))</f>
        <v>75642.170000000013</v>
      </c>
      <c r="J24" s="24">
        <f t="shared" ref="J24:J26" si="12">H24-I24</f>
        <v>57384.039999999979</v>
      </c>
      <c r="K24" s="32"/>
      <c r="L24" s="23">
        <f>I24</f>
        <v>75642.170000000013</v>
      </c>
      <c r="N24" s="51">
        <f t="shared" ref="N24:N25" si="13">H24/I24-1</f>
        <v>0.75862498392100552</v>
      </c>
    </row>
    <row r="25" spans="2:14" x14ac:dyDescent="0.35">
      <c r="B25" s="5" t="s">
        <v>13</v>
      </c>
      <c r="C25" s="5"/>
      <c r="D25" s="6">
        <f>'A to B'!D25</f>
        <v>-86093.95</v>
      </c>
      <c r="E25" s="6">
        <f>-SUMIFS(ACTUAL!$C:$C,ACTUAL!$A:$A,'A to PY'!B25,ACTUAL!$B:$B,EDATE(ACTUAL!$A$1,-12))</f>
        <v>-85833</v>
      </c>
      <c r="F25" s="14">
        <f t="shared" si="11"/>
        <v>-260.94999999999709</v>
      </c>
      <c r="G25" s="6"/>
      <c r="H25" s="6">
        <f>'A to B'!H25</f>
        <v>-411633.3899999999</v>
      </c>
      <c r="I25" s="6">
        <f>-SUMIFS(ACTUAL!$C:$C,ACTUAL!$A:$A,'A to PY'!B25,ACTUAL!$B:$B,"&lt;="&amp;EDATE(ACTUAL!$A$1,-12),ACTUAL!$B:$B,"&gt;="&amp;EDATE(ACTUAL!$A$2,-12))</f>
        <v>-341502</v>
      </c>
      <c r="J25" s="14">
        <f t="shared" si="12"/>
        <v>-70131.389999999898</v>
      </c>
      <c r="K25" s="29"/>
      <c r="L25" s="29">
        <f>I25</f>
        <v>-341502</v>
      </c>
      <c r="M25" s="29"/>
      <c r="N25" s="47">
        <f t="shared" si="13"/>
        <v>0.20536157914155662</v>
      </c>
    </row>
    <row r="26" spans="2:14" s="1" customFormat="1" ht="15.6" thickBot="1" x14ac:dyDescent="0.4">
      <c r="B26" s="9" t="s">
        <v>14</v>
      </c>
      <c r="D26" s="19">
        <f>D21+SUM(D24:D25)</f>
        <v>261361.74000000005</v>
      </c>
      <c r="E26" s="19">
        <f>E21+SUM(E24:E25)</f>
        <v>242028.48999999996</v>
      </c>
      <c r="F26" s="20">
        <f t="shared" si="11"/>
        <v>19333.250000000087</v>
      </c>
      <c r="G26" s="8"/>
      <c r="H26" s="19">
        <f t="shared" ref="H26:I26" si="14">H21+SUM(H24:H25)</f>
        <v>1283783.5700000003</v>
      </c>
      <c r="I26" s="19">
        <f t="shared" si="14"/>
        <v>1021973.8800000005</v>
      </c>
      <c r="J26" s="20">
        <f t="shared" si="12"/>
        <v>261809.68999999983</v>
      </c>
      <c r="K26" s="33"/>
      <c r="L26" s="19">
        <f>L21+SUM(L24:L25)</f>
        <v>1021973.8800000005</v>
      </c>
      <c r="N26" s="41">
        <f>H26/I26-1</f>
        <v>0.25618041236044076</v>
      </c>
    </row>
    <row r="27" spans="2:14" ht="15.6" thickTop="1" x14ac:dyDescent="0.35"/>
    <row r="29" spans="2:14" x14ac:dyDescent="0.35">
      <c r="I29" s="36"/>
    </row>
  </sheetData>
  <mergeCells count="2">
    <mergeCell ref="D5:F5"/>
    <mergeCell ref="H5:J5"/>
  </mergeCells>
  <pageMargins left="0.3" right="0.3" top="0.3" bottom="0.3" header="0.3" footer="0.2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1E53-C658-4464-8BB6-9EFE84ED366D}">
  <dimension ref="A1:L609"/>
  <sheetViews>
    <sheetView workbookViewId="0">
      <selection activeCell="A3" sqref="A3"/>
    </sheetView>
  </sheetViews>
  <sheetFormatPr defaultRowHeight="15" x14ac:dyDescent="0.35"/>
  <cols>
    <col min="1" max="1" width="13.44140625" bestFit="1" customWidth="1"/>
    <col min="2" max="2" width="16.88671875" bestFit="1" customWidth="1"/>
    <col min="3" max="3" width="14.6640625" bestFit="1" customWidth="1"/>
    <col min="9" max="9" width="13.5546875" bestFit="1" customWidth="1"/>
  </cols>
  <sheetData>
    <row r="1" spans="1:7" x14ac:dyDescent="0.35">
      <c r="A1" s="38">
        <v>46235</v>
      </c>
      <c r="B1" t="s">
        <v>32</v>
      </c>
    </row>
    <row r="2" spans="1:7" x14ac:dyDescent="0.35">
      <c r="A2" s="38">
        <v>46113</v>
      </c>
      <c r="B2" t="s">
        <v>29</v>
      </c>
    </row>
    <row r="3" spans="1:7" s="1" customFormat="1" x14ac:dyDescent="0.35">
      <c r="A3" s="1" t="s">
        <v>26</v>
      </c>
      <c r="B3" s="1" t="s">
        <v>27</v>
      </c>
      <c r="C3" s="1" t="s">
        <v>28</v>
      </c>
      <c r="F3"/>
      <c r="G3"/>
    </row>
    <row r="4" spans="1:7" s="1" customFormat="1" x14ac:dyDescent="0.35">
      <c r="A4" t="s">
        <v>0</v>
      </c>
      <c r="B4" s="46">
        <v>46235</v>
      </c>
      <c r="C4" s="45">
        <v>-395645.38</v>
      </c>
      <c r="F4"/>
      <c r="G4"/>
    </row>
    <row r="5" spans="1:7" s="1" customFormat="1" x14ac:dyDescent="0.35">
      <c r="A5" t="s">
        <v>1</v>
      </c>
      <c r="B5" s="46">
        <v>46235</v>
      </c>
      <c r="C5" s="45">
        <v>-21081.99</v>
      </c>
      <c r="E5"/>
      <c r="F5"/>
      <c r="G5"/>
    </row>
    <row r="6" spans="1:7" s="1" customFormat="1" x14ac:dyDescent="0.35">
      <c r="A6" t="s">
        <v>7</v>
      </c>
      <c r="B6" s="46">
        <v>46235</v>
      </c>
      <c r="C6" s="45">
        <v>-6629.36</v>
      </c>
      <c r="F6"/>
      <c r="G6"/>
    </row>
    <row r="7" spans="1:7" s="1" customFormat="1" x14ac:dyDescent="0.35">
      <c r="A7" t="s">
        <v>2</v>
      </c>
      <c r="B7" s="46">
        <v>46235</v>
      </c>
      <c r="C7" s="45">
        <v>-119115.56</v>
      </c>
      <c r="F7"/>
      <c r="G7"/>
    </row>
    <row r="8" spans="1:7" s="1" customFormat="1" x14ac:dyDescent="0.35">
      <c r="A8" t="s">
        <v>8</v>
      </c>
      <c r="B8" s="46">
        <v>46235</v>
      </c>
      <c r="C8" s="45">
        <v>105100.90000000001</v>
      </c>
      <c r="F8"/>
      <c r="G8"/>
    </row>
    <row r="9" spans="1:7" s="1" customFormat="1" x14ac:dyDescent="0.35">
      <c r="A9" t="s">
        <v>3</v>
      </c>
      <c r="B9" s="46">
        <v>46235</v>
      </c>
      <c r="C9" s="45">
        <v>-57691.48</v>
      </c>
      <c r="F9"/>
      <c r="G9"/>
    </row>
    <row r="10" spans="1:7" s="1" customFormat="1" x14ac:dyDescent="0.35">
      <c r="A10" t="s">
        <v>12</v>
      </c>
      <c r="B10" s="46">
        <v>46235</v>
      </c>
      <c r="C10" s="45">
        <v>-25518.75</v>
      </c>
      <c r="F10"/>
      <c r="G10"/>
    </row>
    <row r="11" spans="1:7" s="1" customFormat="1" x14ac:dyDescent="0.35">
      <c r="A11" t="s">
        <v>5</v>
      </c>
      <c r="B11" s="46">
        <v>46235</v>
      </c>
      <c r="C11" s="45">
        <v>-11508.93</v>
      </c>
      <c r="F11"/>
      <c r="G11"/>
    </row>
    <row r="12" spans="1:7" s="1" customFormat="1" x14ac:dyDescent="0.35">
      <c r="A12" t="s">
        <v>9</v>
      </c>
      <c r="B12" s="46">
        <v>46235</v>
      </c>
      <c r="C12" s="45">
        <v>220384.75000000003</v>
      </c>
      <c r="F12"/>
      <c r="G12"/>
    </row>
    <row r="13" spans="1:7" s="1" customFormat="1" x14ac:dyDescent="0.35">
      <c r="A13" t="s">
        <v>4</v>
      </c>
      <c r="B13" s="46">
        <v>46235</v>
      </c>
      <c r="C13" s="45">
        <v>-35749.89</v>
      </c>
      <c r="F13"/>
      <c r="G13"/>
    </row>
    <row r="14" spans="1:7" s="1" customFormat="1" x14ac:dyDescent="0.35">
      <c r="A14" t="s">
        <v>13</v>
      </c>
      <c r="B14" s="46">
        <v>46235</v>
      </c>
      <c r="C14" s="45">
        <v>86093.95</v>
      </c>
      <c r="F14"/>
      <c r="G14"/>
    </row>
    <row r="15" spans="1:7" s="1" customFormat="1" x14ac:dyDescent="0.35">
      <c r="A15" t="s">
        <v>38</v>
      </c>
      <c r="B15" s="46">
        <v>46235</v>
      </c>
      <c r="C15" s="45">
        <v>0</v>
      </c>
      <c r="F15"/>
      <c r="G15"/>
    </row>
    <row r="16" spans="1:7" s="1" customFormat="1" x14ac:dyDescent="0.35">
      <c r="A16" t="s">
        <v>0</v>
      </c>
      <c r="B16" s="37">
        <v>46204</v>
      </c>
      <c r="C16" s="3">
        <v>-388638.18</v>
      </c>
      <c r="F16"/>
      <c r="G16"/>
    </row>
    <row r="17" spans="1:7" s="1" customFormat="1" x14ac:dyDescent="0.35">
      <c r="A17" t="s">
        <v>1</v>
      </c>
      <c r="B17" s="37">
        <v>46204</v>
      </c>
      <c r="C17" s="3">
        <v>-24017.98</v>
      </c>
      <c r="F17"/>
      <c r="G17"/>
    </row>
    <row r="18" spans="1:7" s="1" customFormat="1" x14ac:dyDescent="0.35">
      <c r="A18" t="s">
        <v>7</v>
      </c>
      <c r="B18" s="37">
        <v>46204</v>
      </c>
      <c r="C18" s="3">
        <v>213.46</v>
      </c>
      <c r="F18"/>
      <c r="G18"/>
    </row>
    <row r="19" spans="1:7" s="1" customFormat="1" x14ac:dyDescent="0.35">
      <c r="A19" t="s">
        <v>2</v>
      </c>
      <c r="B19" s="37">
        <v>46204</v>
      </c>
      <c r="C19" s="3">
        <v>-120107.82</v>
      </c>
      <c r="F19"/>
      <c r="G19"/>
    </row>
    <row r="20" spans="1:7" s="1" customFormat="1" x14ac:dyDescent="0.35">
      <c r="A20" t="s">
        <v>8</v>
      </c>
      <c r="B20" s="37">
        <v>46204</v>
      </c>
      <c r="C20" s="3">
        <v>125443.92</v>
      </c>
      <c r="F20"/>
      <c r="G20"/>
    </row>
    <row r="21" spans="1:7" s="1" customFormat="1" x14ac:dyDescent="0.35">
      <c r="A21" t="s">
        <v>3</v>
      </c>
      <c r="B21" s="37">
        <v>46204</v>
      </c>
      <c r="C21" s="3">
        <v>-54112.22</v>
      </c>
      <c r="F21"/>
      <c r="G21"/>
    </row>
    <row r="22" spans="1:7" s="1" customFormat="1" x14ac:dyDescent="0.35">
      <c r="A22" t="s">
        <v>12</v>
      </c>
      <c r="B22" s="37">
        <v>46204</v>
      </c>
      <c r="C22" s="3">
        <v>-25491.77</v>
      </c>
      <c r="F22"/>
      <c r="G22"/>
    </row>
    <row r="23" spans="1:7" s="1" customFormat="1" x14ac:dyDescent="0.35">
      <c r="A23" t="s">
        <v>5</v>
      </c>
      <c r="B23" s="37">
        <v>46204</v>
      </c>
      <c r="C23" s="3">
        <v>-11508.97</v>
      </c>
      <c r="F23"/>
      <c r="G23"/>
    </row>
    <row r="24" spans="1:7" s="1" customFormat="1" x14ac:dyDescent="0.35">
      <c r="A24" t="s">
        <v>9</v>
      </c>
      <c r="B24" s="37">
        <v>46204</v>
      </c>
      <c r="C24" s="3">
        <v>227751.32</v>
      </c>
      <c r="F24"/>
      <c r="G24"/>
    </row>
    <row r="25" spans="1:7" s="1" customFormat="1" x14ac:dyDescent="0.35">
      <c r="A25" t="s">
        <v>4</v>
      </c>
      <c r="B25" s="37">
        <v>46204</v>
      </c>
      <c r="C25" s="3">
        <v>-31086.74</v>
      </c>
      <c r="F25"/>
      <c r="G25"/>
    </row>
    <row r="26" spans="1:7" s="1" customFormat="1" x14ac:dyDescent="0.35">
      <c r="A26" t="s">
        <v>13</v>
      </c>
      <c r="B26" s="37">
        <v>46204</v>
      </c>
      <c r="C26" s="3">
        <v>86591.9</v>
      </c>
      <c r="F26"/>
      <c r="G26"/>
    </row>
    <row r="27" spans="1:7" s="1" customFormat="1" x14ac:dyDescent="0.35">
      <c r="A27" t="s">
        <v>38</v>
      </c>
      <c r="B27" s="37">
        <v>46204</v>
      </c>
      <c r="C27" s="3">
        <v>0</v>
      </c>
      <c r="F27"/>
      <c r="G27"/>
    </row>
    <row r="28" spans="1:7" s="1" customFormat="1" x14ac:dyDescent="0.35">
      <c r="A28" t="s">
        <v>0</v>
      </c>
      <c r="B28" s="37">
        <v>46174</v>
      </c>
      <c r="C28" s="3">
        <v>-400237.74</v>
      </c>
      <c r="F28"/>
      <c r="G28"/>
    </row>
    <row r="29" spans="1:7" s="1" customFormat="1" x14ac:dyDescent="0.35">
      <c r="A29" t="s">
        <v>1</v>
      </c>
      <c r="B29" s="37">
        <v>46174</v>
      </c>
      <c r="C29" s="3">
        <v>-25988.5</v>
      </c>
      <c r="F29"/>
      <c r="G29"/>
    </row>
    <row r="30" spans="1:7" s="1" customFormat="1" x14ac:dyDescent="0.35">
      <c r="A30" t="s">
        <v>7</v>
      </c>
      <c r="B30" s="37">
        <v>46174</v>
      </c>
      <c r="C30" s="3">
        <v>-361.53</v>
      </c>
      <c r="F30"/>
      <c r="G30"/>
    </row>
    <row r="31" spans="1:7" s="1" customFormat="1" x14ac:dyDescent="0.35">
      <c r="A31" t="s">
        <v>2</v>
      </c>
      <c r="B31" s="37">
        <v>46174</v>
      </c>
      <c r="C31" s="3">
        <v>-156785.28</v>
      </c>
      <c r="F31"/>
      <c r="G31"/>
    </row>
    <row r="32" spans="1:7" s="1" customFormat="1" x14ac:dyDescent="0.35">
      <c r="A32" t="s">
        <v>8</v>
      </c>
      <c r="B32" s="37">
        <v>46174</v>
      </c>
      <c r="C32" s="3">
        <v>117267.84</v>
      </c>
      <c r="F32"/>
      <c r="G32"/>
    </row>
    <row r="33" spans="1:7" s="1" customFormat="1" x14ac:dyDescent="0.35">
      <c r="A33" t="s">
        <v>3</v>
      </c>
      <c r="B33" s="37">
        <v>46174</v>
      </c>
      <c r="C33" s="3">
        <v>-56485.84</v>
      </c>
      <c r="F33"/>
      <c r="G33"/>
    </row>
    <row r="34" spans="1:7" s="1" customFormat="1" x14ac:dyDescent="0.35">
      <c r="A34" t="s">
        <v>12</v>
      </c>
      <c r="B34" s="37">
        <v>46174</v>
      </c>
      <c r="C34" s="3">
        <v>-36552.67</v>
      </c>
      <c r="F34"/>
      <c r="G34"/>
    </row>
    <row r="35" spans="1:7" s="1" customFormat="1" x14ac:dyDescent="0.35">
      <c r="A35" t="s">
        <v>5</v>
      </c>
      <c r="B35" s="37">
        <v>46174</v>
      </c>
      <c r="C35" s="3">
        <v>-11040.62</v>
      </c>
      <c r="F35"/>
      <c r="G35"/>
    </row>
    <row r="36" spans="1:7" s="1" customFormat="1" x14ac:dyDescent="0.35">
      <c r="A36" t="s">
        <v>9</v>
      </c>
      <c r="B36" s="37">
        <v>46174</v>
      </c>
      <c r="C36" s="3">
        <v>235645.09</v>
      </c>
      <c r="F36"/>
      <c r="G36"/>
    </row>
    <row r="37" spans="1:7" s="1" customFormat="1" x14ac:dyDescent="0.35">
      <c r="A37" t="s">
        <v>4</v>
      </c>
      <c r="B37" s="37">
        <v>46174</v>
      </c>
      <c r="C37" s="3">
        <v>-27823.66</v>
      </c>
      <c r="F37"/>
      <c r="G37"/>
    </row>
    <row r="38" spans="1:7" s="1" customFormat="1" x14ac:dyDescent="0.35">
      <c r="A38" t="s">
        <v>13</v>
      </c>
      <c r="B38" s="37">
        <v>46174</v>
      </c>
      <c r="C38" s="3">
        <v>87208.29</v>
      </c>
      <c r="F38"/>
      <c r="G38"/>
    </row>
    <row r="39" spans="1:7" s="1" customFormat="1" x14ac:dyDescent="0.35">
      <c r="A39" t="s">
        <v>38</v>
      </c>
      <c r="B39" s="37">
        <v>46174</v>
      </c>
      <c r="C39" s="3">
        <v>-951.22</v>
      </c>
      <c r="F39"/>
      <c r="G39"/>
    </row>
    <row r="40" spans="1:7" s="1" customFormat="1" x14ac:dyDescent="0.35">
      <c r="A40" t="s">
        <v>0</v>
      </c>
      <c r="B40" s="37">
        <v>46143</v>
      </c>
      <c r="C40" s="3">
        <v>-389957.34</v>
      </c>
      <c r="F40"/>
      <c r="G40"/>
    </row>
    <row r="41" spans="1:7" s="1" customFormat="1" x14ac:dyDescent="0.35">
      <c r="A41" t="s">
        <v>1</v>
      </c>
      <c r="B41" s="37">
        <v>46143</v>
      </c>
      <c r="C41" s="3">
        <v>-21027.360000000001</v>
      </c>
      <c r="F41"/>
      <c r="G41"/>
    </row>
    <row r="42" spans="1:7" s="1" customFormat="1" x14ac:dyDescent="0.35">
      <c r="A42" t="s">
        <v>7</v>
      </c>
      <c r="B42" s="37">
        <v>46143</v>
      </c>
      <c r="C42" s="3">
        <v>14685.17</v>
      </c>
      <c r="F42"/>
      <c r="G42"/>
    </row>
    <row r="43" spans="1:7" s="1" customFormat="1" x14ac:dyDescent="0.35">
      <c r="A43" t="s">
        <v>2</v>
      </c>
      <c r="B43" s="37">
        <v>46143</v>
      </c>
      <c r="C43" s="3">
        <v>-130611.19</v>
      </c>
      <c r="F43"/>
      <c r="G43"/>
    </row>
    <row r="44" spans="1:7" s="1" customFormat="1" x14ac:dyDescent="0.35">
      <c r="A44" t="s">
        <v>8</v>
      </c>
      <c r="B44" s="37">
        <v>46143</v>
      </c>
      <c r="C44" s="3">
        <v>97067.14</v>
      </c>
      <c r="F44"/>
      <c r="G44"/>
    </row>
    <row r="45" spans="1:7" s="1" customFormat="1" x14ac:dyDescent="0.35">
      <c r="A45" t="s">
        <v>3</v>
      </c>
      <c r="B45" s="37">
        <v>46143</v>
      </c>
      <c r="C45" s="3">
        <v>-44867.79</v>
      </c>
      <c r="F45"/>
      <c r="G45"/>
    </row>
    <row r="46" spans="1:7" s="1" customFormat="1" x14ac:dyDescent="0.35">
      <c r="A46" t="s">
        <v>12</v>
      </c>
      <c r="B46" s="37">
        <v>46143</v>
      </c>
      <c r="C46" s="3">
        <v>-27810.26</v>
      </c>
      <c r="F46"/>
      <c r="G46"/>
    </row>
    <row r="47" spans="1:7" s="1" customFormat="1" x14ac:dyDescent="0.35">
      <c r="A47" t="s">
        <v>5</v>
      </c>
      <c r="B47" s="37">
        <v>46143</v>
      </c>
      <c r="C47" s="3">
        <v>-11408.63</v>
      </c>
      <c r="F47"/>
      <c r="G47"/>
    </row>
    <row r="48" spans="1:7" s="1" customFormat="1" x14ac:dyDescent="0.35">
      <c r="A48" t="s">
        <v>9</v>
      </c>
      <c r="B48" s="37">
        <v>46143</v>
      </c>
      <c r="C48" s="3">
        <v>203641.66</v>
      </c>
      <c r="F48"/>
      <c r="G48"/>
    </row>
    <row r="49" spans="1:7" s="1" customFormat="1" x14ac:dyDescent="0.35">
      <c r="A49" t="s">
        <v>4</v>
      </c>
      <c r="B49" s="37">
        <v>46143</v>
      </c>
      <c r="C49" s="3">
        <v>-28705.24</v>
      </c>
      <c r="F49"/>
      <c r="G49"/>
    </row>
    <row r="50" spans="1:7" s="1" customFormat="1" x14ac:dyDescent="0.35">
      <c r="A50" t="s">
        <v>13</v>
      </c>
      <c r="B50" s="37">
        <v>46143</v>
      </c>
      <c r="C50" s="3">
        <v>95749.66</v>
      </c>
      <c r="F50"/>
      <c r="G50"/>
    </row>
    <row r="51" spans="1:7" s="1" customFormat="1" x14ac:dyDescent="0.35">
      <c r="A51" t="s">
        <v>38</v>
      </c>
      <c r="B51" s="37">
        <v>46143</v>
      </c>
      <c r="C51" s="3">
        <v>-22895.35</v>
      </c>
      <c r="F51"/>
      <c r="G51"/>
    </row>
    <row r="52" spans="1:7" s="1" customFormat="1" x14ac:dyDescent="0.35">
      <c r="A52" t="s">
        <v>0</v>
      </c>
      <c r="B52" s="37">
        <v>46113</v>
      </c>
      <c r="C52" s="3">
        <v>-383050.36</v>
      </c>
      <c r="F52"/>
      <c r="G52"/>
    </row>
    <row r="53" spans="1:7" s="1" customFormat="1" x14ac:dyDescent="0.35">
      <c r="A53" t="s">
        <v>1</v>
      </c>
      <c r="B53" s="37">
        <v>46113</v>
      </c>
      <c r="C53" s="3">
        <v>-21734.36</v>
      </c>
      <c r="F53"/>
      <c r="G53"/>
    </row>
    <row r="54" spans="1:7" s="1" customFormat="1" x14ac:dyDescent="0.35">
      <c r="A54" t="s">
        <v>7</v>
      </c>
      <c r="B54" s="37">
        <v>46113</v>
      </c>
      <c r="C54" s="3">
        <v>14575.96</v>
      </c>
      <c r="F54"/>
      <c r="G54"/>
    </row>
    <row r="55" spans="1:7" s="1" customFormat="1" x14ac:dyDescent="0.35">
      <c r="A55" t="s">
        <v>2</v>
      </c>
      <c r="B55" s="37">
        <v>46113</v>
      </c>
      <c r="C55" s="3">
        <v>-116152.23</v>
      </c>
      <c r="F55"/>
      <c r="G55"/>
    </row>
    <row r="56" spans="1:7" s="1" customFormat="1" x14ac:dyDescent="0.35">
      <c r="A56" t="s">
        <v>8</v>
      </c>
      <c r="B56" s="37">
        <v>46113</v>
      </c>
      <c r="C56" s="3">
        <v>104991.94</v>
      </c>
      <c r="F56"/>
      <c r="G56"/>
    </row>
    <row r="57" spans="1:7" s="1" customFormat="1" x14ac:dyDescent="0.35">
      <c r="A57" t="s">
        <v>3</v>
      </c>
      <c r="B57" s="37">
        <v>46113</v>
      </c>
      <c r="C57" s="3">
        <v>-41778.39</v>
      </c>
      <c r="F57"/>
      <c r="G57"/>
    </row>
    <row r="58" spans="1:7" s="1" customFormat="1" x14ac:dyDescent="0.35">
      <c r="A58" t="s">
        <v>12</v>
      </c>
      <c r="B58" s="37">
        <v>46113</v>
      </c>
      <c r="C58" s="3">
        <v>-17652.760000000002</v>
      </c>
      <c r="F58"/>
      <c r="G58"/>
    </row>
    <row r="59" spans="1:7" s="1" customFormat="1" x14ac:dyDescent="0.35">
      <c r="A59" t="s">
        <v>5</v>
      </c>
      <c r="B59" s="37">
        <v>46113</v>
      </c>
      <c r="C59" s="3">
        <v>-11028.23</v>
      </c>
      <c r="F59"/>
      <c r="G59"/>
    </row>
    <row r="60" spans="1:7" s="1" customFormat="1" x14ac:dyDescent="0.35">
      <c r="A60" t="s">
        <v>9</v>
      </c>
      <c r="B60" s="37">
        <v>46113</v>
      </c>
      <c r="C60" s="3">
        <v>194723.97999999998</v>
      </c>
      <c r="F60"/>
      <c r="G60"/>
    </row>
    <row r="61" spans="1:7" s="1" customFormat="1" x14ac:dyDescent="0.35">
      <c r="A61" t="s">
        <v>4</v>
      </c>
      <c r="B61" s="37">
        <v>46113</v>
      </c>
      <c r="C61" s="3">
        <v>-27779.279999999999</v>
      </c>
      <c r="F61"/>
      <c r="G61"/>
    </row>
    <row r="62" spans="1:7" s="1" customFormat="1" x14ac:dyDescent="0.35">
      <c r="A62" t="s">
        <v>13</v>
      </c>
      <c r="B62" s="37">
        <v>46113</v>
      </c>
      <c r="C62" s="3">
        <v>55989.59</v>
      </c>
      <c r="F62"/>
      <c r="G62"/>
    </row>
    <row r="63" spans="1:7" s="1" customFormat="1" x14ac:dyDescent="0.35">
      <c r="A63" t="s">
        <v>38</v>
      </c>
      <c r="B63" s="37">
        <v>46113</v>
      </c>
      <c r="C63" s="3">
        <v>-16319.24</v>
      </c>
      <c r="F63"/>
      <c r="G63"/>
    </row>
    <row r="64" spans="1:7" s="1" customFormat="1" x14ac:dyDescent="0.35">
      <c r="A64" t="s">
        <v>0</v>
      </c>
      <c r="B64" s="37">
        <v>46082</v>
      </c>
      <c r="C64" s="3">
        <v>-427667.19</v>
      </c>
      <c r="F64"/>
      <c r="G64"/>
    </row>
    <row r="65" spans="1:7" s="1" customFormat="1" x14ac:dyDescent="0.35">
      <c r="A65" t="s">
        <v>1</v>
      </c>
      <c r="B65" s="37">
        <v>46082</v>
      </c>
      <c r="C65" s="3">
        <v>-20177.099999999999</v>
      </c>
      <c r="F65"/>
      <c r="G65"/>
    </row>
    <row r="66" spans="1:7" s="1" customFormat="1" x14ac:dyDescent="0.35">
      <c r="A66" t="s">
        <v>7</v>
      </c>
      <c r="B66" s="37">
        <v>46082</v>
      </c>
      <c r="C66" s="3">
        <v>14980</v>
      </c>
      <c r="F66"/>
      <c r="G66"/>
    </row>
    <row r="67" spans="1:7" s="1" customFormat="1" x14ac:dyDescent="0.35">
      <c r="A67" t="s">
        <v>2</v>
      </c>
      <c r="B67" s="37">
        <v>46082</v>
      </c>
      <c r="C67" s="3">
        <v>-121218.16</v>
      </c>
      <c r="F67"/>
      <c r="G67"/>
    </row>
    <row r="68" spans="1:7" s="1" customFormat="1" x14ac:dyDescent="0.35">
      <c r="A68" t="s">
        <v>8</v>
      </c>
      <c r="B68" s="37">
        <v>46082</v>
      </c>
      <c r="C68" s="3">
        <v>111107.65999999999</v>
      </c>
      <c r="F68"/>
      <c r="G68"/>
    </row>
    <row r="69" spans="1:7" s="1" customFormat="1" x14ac:dyDescent="0.35">
      <c r="A69" t="s">
        <v>3</v>
      </c>
      <c r="B69" s="37">
        <v>46082</v>
      </c>
      <c r="C69" s="3">
        <v>-45222.080000000002</v>
      </c>
      <c r="F69"/>
      <c r="G69"/>
    </row>
    <row r="70" spans="1:7" s="1" customFormat="1" x14ac:dyDescent="0.35">
      <c r="A70" t="s">
        <v>12</v>
      </c>
      <c r="B70" s="37">
        <v>46082</v>
      </c>
      <c r="C70" s="3">
        <v>-35258.03</v>
      </c>
      <c r="F70"/>
      <c r="G70"/>
    </row>
    <row r="71" spans="1:7" s="1" customFormat="1" x14ac:dyDescent="0.35">
      <c r="A71" t="s">
        <v>5</v>
      </c>
      <c r="B71" s="37">
        <v>46082</v>
      </c>
      <c r="C71" s="3">
        <v>-10461.61</v>
      </c>
      <c r="F71"/>
      <c r="G71"/>
    </row>
    <row r="72" spans="1:7" s="1" customFormat="1" x14ac:dyDescent="0.35">
      <c r="A72" t="s">
        <v>9</v>
      </c>
      <c r="B72" s="37">
        <v>46082</v>
      </c>
      <c r="C72" s="3">
        <v>201300.42000000004</v>
      </c>
      <c r="F72"/>
      <c r="G72"/>
    </row>
    <row r="73" spans="1:7" s="1" customFormat="1" x14ac:dyDescent="0.35">
      <c r="A73" t="s">
        <v>4</v>
      </c>
      <c r="B73" s="37">
        <v>46082</v>
      </c>
      <c r="C73" s="3">
        <v>-28705.26</v>
      </c>
      <c r="F73"/>
      <c r="G73"/>
    </row>
    <row r="74" spans="1:7" s="1" customFormat="1" x14ac:dyDescent="0.35">
      <c r="A74" t="s">
        <v>13</v>
      </c>
      <c r="B74" s="37">
        <v>46082</v>
      </c>
      <c r="C74" s="3">
        <v>93100</v>
      </c>
      <c r="F74"/>
      <c r="G74"/>
    </row>
    <row r="75" spans="1:7" s="1" customFormat="1" x14ac:dyDescent="0.35">
      <c r="A75" t="s">
        <v>0</v>
      </c>
      <c r="B75" s="37">
        <v>46054</v>
      </c>
      <c r="C75" s="3">
        <v>-372164.38</v>
      </c>
      <c r="F75"/>
      <c r="G75"/>
    </row>
    <row r="76" spans="1:7" s="1" customFormat="1" x14ac:dyDescent="0.35">
      <c r="A76" t="s">
        <v>1</v>
      </c>
      <c r="B76" s="37">
        <v>46054</v>
      </c>
      <c r="C76" s="3">
        <v>-20464.36</v>
      </c>
      <c r="F76"/>
      <c r="G76"/>
    </row>
    <row r="77" spans="1:7" s="1" customFormat="1" x14ac:dyDescent="0.35">
      <c r="A77" t="s">
        <v>7</v>
      </c>
      <c r="B77" s="37">
        <v>46054</v>
      </c>
      <c r="C77" s="3">
        <v>16499.66</v>
      </c>
      <c r="F77"/>
      <c r="G77"/>
    </row>
    <row r="78" spans="1:7" s="1" customFormat="1" x14ac:dyDescent="0.35">
      <c r="A78" t="s">
        <v>2</v>
      </c>
      <c r="B78" s="37">
        <v>46054</v>
      </c>
      <c r="C78" s="3">
        <v>-95533.78</v>
      </c>
      <c r="F78"/>
      <c r="G78"/>
    </row>
    <row r="79" spans="1:7" s="1" customFormat="1" x14ac:dyDescent="0.35">
      <c r="A79" t="s">
        <v>8</v>
      </c>
      <c r="B79" s="37">
        <v>46054</v>
      </c>
      <c r="C79" s="3">
        <v>97629.09</v>
      </c>
      <c r="F79"/>
      <c r="G79"/>
    </row>
    <row r="80" spans="1:7" s="1" customFormat="1" x14ac:dyDescent="0.35">
      <c r="A80" t="s">
        <v>3</v>
      </c>
      <c r="B80" s="37">
        <v>46054</v>
      </c>
      <c r="C80" s="3">
        <v>-43595.82</v>
      </c>
      <c r="F80"/>
      <c r="G80"/>
    </row>
    <row r="81" spans="1:7" s="1" customFormat="1" x14ac:dyDescent="0.35">
      <c r="A81" t="s">
        <v>12</v>
      </c>
      <c r="B81" s="37">
        <v>46054</v>
      </c>
      <c r="C81" s="3">
        <v>-27033.99</v>
      </c>
      <c r="F81"/>
      <c r="G81"/>
    </row>
    <row r="82" spans="1:7" s="1" customFormat="1" x14ac:dyDescent="0.35">
      <c r="A82" t="s">
        <v>5</v>
      </c>
      <c r="B82" s="37">
        <v>46054</v>
      </c>
      <c r="C82" s="3">
        <v>-9449.2000000000007</v>
      </c>
      <c r="F82"/>
      <c r="G82"/>
    </row>
    <row r="83" spans="1:7" s="1" customFormat="1" x14ac:dyDescent="0.35">
      <c r="A83" t="s">
        <v>9</v>
      </c>
      <c r="B83" s="37">
        <v>46054</v>
      </c>
      <c r="C83" s="3">
        <v>180104.81999999998</v>
      </c>
      <c r="F83"/>
      <c r="G83"/>
    </row>
    <row r="84" spans="1:7" s="1" customFormat="1" x14ac:dyDescent="0.35">
      <c r="A84" t="s">
        <v>4</v>
      </c>
      <c r="B84" s="37">
        <v>46054</v>
      </c>
      <c r="C84" s="3">
        <v>-25860.44</v>
      </c>
      <c r="F84"/>
      <c r="G84"/>
    </row>
    <row r="85" spans="1:7" s="1" customFormat="1" x14ac:dyDescent="0.35">
      <c r="A85" t="s">
        <v>13</v>
      </c>
      <c r="B85" s="37">
        <v>46054</v>
      </c>
      <c r="C85" s="3">
        <v>78280</v>
      </c>
      <c r="F85"/>
      <c r="G85"/>
    </row>
    <row r="86" spans="1:7" s="1" customFormat="1" x14ac:dyDescent="0.35">
      <c r="A86" t="s">
        <v>0</v>
      </c>
      <c r="B86" s="37">
        <v>46023</v>
      </c>
      <c r="C86" s="3">
        <v>-338776.69</v>
      </c>
      <c r="F86"/>
      <c r="G86"/>
    </row>
    <row r="87" spans="1:7" s="1" customFormat="1" x14ac:dyDescent="0.35">
      <c r="A87" t="s">
        <v>1</v>
      </c>
      <c r="B87" s="37">
        <v>46023</v>
      </c>
      <c r="C87" s="3">
        <v>-19280.63</v>
      </c>
      <c r="F87"/>
      <c r="G87"/>
    </row>
    <row r="88" spans="1:7" s="1" customFormat="1" x14ac:dyDescent="0.35">
      <c r="A88" t="s">
        <v>7</v>
      </c>
      <c r="B88" s="37">
        <v>46023</v>
      </c>
      <c r="C88" s="3">
        <v>32072.6</v>
      </c>
      <c r="F88"/>
      <c r="G88"/>
    </row>
    <row r="89" spans="1:7" s="1" customFormat="1" x14ac:dyDescent="0.35">
      <c r="A89" t="s">
        <v>2</v>
      </c>
      <c r="B89" s="37">
        <v>46023</v>
      </c>
      <c r="C89" s="3">
        <v>-127494.89</v>
      </c>
      <c r="F89"/>
      <c r="G89"/>
    </row>
    <row r="90" spans="1:7" s="1" customFormat="1" x14ac:dyDescent="0.35">
      <c r="A90" t="s">
        <v>8</v>
      </c>
      <c r="B90" s="37">
        <v>46023</v>
      </c>
      <c r="C90" s="3">
        <v>103246.26</v>
      </c>
      <c r="F90"/>
      <c r="G90"/>
    </row>
    <row r="91" spans="1:7" s="1" customFormat="1" x14ac:dyDescent="0.35">
      <c r="A91" t="s">
        <v>3</v>
      </c>
      <c r="B91" s="37">
        <v>46023</v>
      </c>
      <c r="C91" s="3">
        <v>-45399.56</v>
      </c>
      <c r="F91"/>
      <c r="G91"/>
    </row>
    <row r="92" spans="1:7" s="1" customFormat="1" x14ac:dyDescent="0.35">
      <c r="A92" t="s">
        <v>12</v>
      </c>
      <c r="B92" s="37">
        <v>46023</v>
      </c>
      <c r="C92" s="3">
        <v>-19121.79</v>
      </c>
      <c r="F92"/>
      <c r="G92"/>
    </row>
    <row r="93" spans="1:7" s="1" customFormat="1" x14ac:dyDescent="0.35">
      <c r="A93" t="s">
        <v>5</v>
      </c>
      <c r="B93" s="37">
        <v>46023</v>
      </c>
      <c r="C93" s="3">
        <v>-10461.61</v>
      </c>
      <c r="F93"/>
      <c r="G93"/>
    </row>
    <row r="94" spans="1:7" s="1" customFormat="1" x14ac:dyDescent="0.35">
      <c r="A94" t="s">
        <v>9</v>
      </c>
      <c r="B94" s="37">
        <v>46023</v>
      </c>
      <c r="C94" s="3">
        <v>192121.84</v>
      </c>
      <c r="F94"/>
      <c r="G94"/>
    </row>
    <row r="95" spans="1:7" s="1" customFormat="1" x14ac:dyDescent="0.35">
      <c r="A95" t="s">
        <v>4</v>
      </c>
      <c r="B95" s="37">
        <v>46023</v>
      </c>
      <c r="C95" s="3">
        <v>-28631.22</v>
      </c>
      <c r="F95"/>
      <c r="G95"/>
    </row>
    <row r="96" spans="1:7" s="1" customFormat="1" x14ac:dyDescent="0.35">
      <c r="A96" t="s">
        <v>13</v>
      </c>
      <c r="B96" s="37">
        <v>46023</v>
      </c>
      <c r="C96" s="3">
        <v>67432</v>
      </c>
      <c r="F96"/>
      <c r="G96"/>
    </row>
    <row r="97" spans="1:7" s="1" customFormat="1" x14ac:dyDescent="0.35">
      <c r="A97" t="s">
        <v>0</v>
      </c>
      <c r="B97" s="37">
        <v>45992</v>
      </c>
      <c r="C97" s="3">
        <v>-393057.44</v>
      </c>
      <c r="F97"/>
      <c r="G97"/>
    </row>
    <row r="98" spans="1:7" s="1" customFormat="1" x14ac:dyDescent="0.35">
      <c r="A98" t="s">
        <v>1</v>
      </c>
      <c r="B98" s="37">
        <v>45992</v>
      </c>
      <c r="C98" s="3">
        <v>-18855.91</v>
      </c>
      <c r="F98"/>
      <c r="G98"/>
    </row>
    <row r="99" spans="1:7" s="1" customFormat="1" x14ac:dyDescent="0.35">
      <c r="A99" t="s">
        <v>7</v>
      </c>
      <c r="B99" s="37">
        <v>45992</v>
      </c>
      <c r="C99" s="3">
        <v>6772.57</v>
      </c>
    </row>
    <row r="100" spans="1:7" s="1" customFormat="1" x14ac:dyDescent="0.35">
      <c r="A100" t="s">
        <v>2</v>
      </c>
      <c r="B100" s="37">
        <v>45992</v>
      </c>
      <c r="C100" s="3">
        <v>-131613.18</v>
      </c>
    </row>
    <row r="101" spans="1:7" s="1" customFormat="1" x14ac:dyDescent="0.35">
      <c r="A101" t="s">
        <v>8</v>
      </c>
      <c r="B101" s="37">
        <v>45992</v>
      </c>
      <c r="C101" s="3">
        <v>102076.79</v>
      </c>
    </row>
    <row r="102" spans="1:7" s="1" customFormat="1" x14ac:dyDescent="0.35">
      <c r="A102" t="s">
        <v>3</v>
      </c>
      <c r="B102" s="37">
        <v>45992</v>
      </c>
      <c r="C102" s="3">
        <v>-54680.69</v>
      </c>
    </row>
    <row r="103" spans="1:7" s="1" customFormat="1" x14ac:dyDescent="0.35">
      <c r="A103" t="s">
        <v>12</v>
      </c>
      <c r="B103" s="37">
        <v>45992</v>
      </c>
      <c r="C103" s="3">
        <v>-18127.649999999998</v>
      </c>
    </row>
    <row r="104" spans="1:7" s="1" customFormat="1" x14ac:dyDescent="0.35">
      <c r="A104" t="s">
        <v>5</v>
      </c>
      <c r="B104" s="37">
        <v>45992</v>
      </c>
      <c r="C104" s="3">
        <v>-10936.28</v>
      </c>
    </row>
    <row r="105" spans="1:7" s="1" customFormat="1" x14ac:dyDescent="0.35">
      <c r="A105" t="s">
        <v>9</v>
      </c>
      <c r="B105" s="37">
        <v>45992</v>
      </c>
      <c r="C105" s="3">
        <v>220731.13</v>
      </c>
    </row>
    <row r="106" spans="1:7" s="1" customFormat="1" x14ac:dyDescent="0.35">
      <c r="A106" t="s">
        <v>4</v>
      </c>
      <c r="B106" s="37">
        <v>45992</v>
      </c>
      <c r="C106" s="3">
        <v>-33536.49</v>
      </c>
    </row>
    <row r="107" spans="1:7" s="1" customFormat="1" x14ac:dyDescent="0.35">
      <c r="A107" t="s">
        <v>13</v>
      </c>
      <c r="B107" s="37">
        <v>45992</v>
      </c>
      <c r="C107" s="3">
        <v>86825.82</v>
      </c>
    </row>
    <row r="108" spans="1:7" s="1" customFormat="1" x14ac:dyDescent="0.35">
      <c r="A108" t="s">
        <v>0</v>
      </c>
      <c r="B108" s="37">
        <v>45962</v>
      </c>
      <c r="C108" s="3">
        <v>-390237.42</v>
      </c>
    </row>
    <row r="109" spans="1:7" s="1" customFormat="1" x14ac:dyDescent="0.35">
      <c r="A109" t="s">
        <v>1</v>
      </c>
      <c r="B109" s="37">
        <v>45962</v>
      </c>
      <c r="C109" s="3">
        <v>-19398.37</v>
      </c>
    </row>
    <row r="110" spans="1:7" s="1" customFormat="1" x14ac:dyDescent="0.35">
      <c r="A110" t="s">
        <v>7</v>
      </c>
      <c r="B110" s="37">
        <v>45962</v>
      </c>
      <c r="C110" s="3">
        <v>6554.09</v>
      </c>
    </row>
    <row r="111" spans="1:7" s="1" customFormat="1" x14ac:dyDescent="0.35">
      <c r="A111" t="s">
        <v>2</v>
      </c>
      <c r="B111" s="37">
        <v>45962</v>
      </c>
      <c r="C111" s="3">
        <v>-122927.72</v>
      </c>
    </row>
    <row r="112" spans="1:7" s="1" customFormat="1" x14ac:dyDescent="0.35">
      <c r="A112" t="s">
        <v>8</v>
      </c>
      <c r="B112" s="37">
        <v>45962</v>
      </c>
      <c r="C112" s="3">
        <v>91656.969999999987</v>
      </c>
    </row>
    <row r="113" spans="1:3" s="1" customFormat="1" x14ac:dyDescent="0.35">
      <c r="A113" t="s">
        <v>3</v>
      </c>
      <c r="B113" s="37">
        <v>45962</v>
      </c>
      <c r="C113" s="3">
        <v>-41724.9</v>
      </c>
    </row>
    <row r="114" spans="1:3" s="1" customFormat="1" x14ac:dyDescent="0.35">
      <c r="A114" t="s">
        <v>12</v>
      </c>
      <c r="B114" s="37">
        <v>45962</v>
      </c>
      <c r="C114" s="3">
        <v>-21404.73</v>
      </c>
    </row>
    <row r="115" spans="1:3" s="1" customFormat="1" x14ac:dyDescent="0.35">
      <c r="A115" t="s">
        <v>5</v>
      </c>
      <c r="B115" s="37">
        <v>45962</v>
      </c>
      <c r="C115" s="3">
        <v>-13762.2</v>
      </c>
    </row>
    <row r="116" spans="1:3" s="1" customFormat="1" x14ac:dyDescent="0.35">
      <c r="A116" t="s">
        <v>9</v>
      </c>
      <c r="B116" s="37">
        <v>45962</v>
      </c>
      <c r="C116" s="3">
        <v>195009.97</v>
      </c>
    </row>
    <row r="117" spans="1:3" s="1" customFormat="1" x14ac:dyDescent="0.35">
      <c r="A117" t="s">
        <v>4</v>
      </c>
      <c r="B117" s="37">
        <v>45962</v>
      </c>
      <c r="C117" s="3">
        <v>-33710.839999999997</v>
      </c>
    </row>
    <row r="118" spans="1:3" s="1" customFormat="1" x14ac:dyDescent="0.35">
      <c r="A118" t="s">
        <v>13</v>
      </c>
      <c r="B118" s="37">
        <v>45962</v>
      </c>
      <c r="C118" s="3">
        <v>88185.99</v>
      </c>
    </row>
    <row r="119" spans="1:3" s="1" customFormat="1" x14ac:dyDescent="0.35">
      <c r="A119" t="s">
        <v>0</v>
      </c>
      <c r="B119" s="37">
        <v>45931</v>
      </c>
      <c r="C119" s="3">
        <v>-415418.59</v>
      </c>
    </row>
    <row r="120" spans="1:3" s="1" customFormat="1" x14ac:dyDescent="0.35">
      <c r="A120" t="s">
        <v>1</v>
      </c>
      <c r="B120" s="37">
        <v>45931</v>
      </c>
      <c r="C120" s="3">
        <v>-20809.38</v>
      </c>
    </row>
    <row r="121" spans="1:3" s="1" customFormat="1" x14ac:dyDescent="0.35">
      <c r="A121" t="s">
        <v>7</v>
      </c>
      <c r="B121" s="37">
        <v>45931</v>
      </c>
      <c r="C121" s="3">
        <v>4828.72</v>
      </c>
    </row>
    <row r="122" spans="1:3" s="1" customFormat="1" x14ac:dyDescent="0.35">
      <c r="A122" t="s">
        <v>2</v>
      </c>
      <c r="B122" s="37">
        <v>45931</v>
      </c>
      <c r="C122" s="3">
        <v>-126846.93</v>
      </c>
    </row>
    <row r="123" spans="1:3" s="1" customFormat="1" x14ac:dyDescent="0.35">
      <c r="A123" t="s">
        <v>8</v>
      </c>
      <c r="B123" s="37">
        <v>45931</v>
      </c>
      <c r="C123" s="3">
        <v>81857.590000000011</v>
      </c>
    </row>
    <row r="124" spans="1:3" s="1" customFormat="1" x14ac:dyDescent="0.35">
      <c r="A124" t="s">
        <v>3</v>
      </c>
      <c r="B124" s="37">
        <v>45931</v>
      </c>
      <c r="C124" s="3">
        <v>-38709.33</v>
      </c>
    </row>
    <row r="125" spans="1:3" s="1" customFormat="1" x14ac:dyDescent="0.35">
      <c r="A125" t="s">
        <v>12</v>
      </c>
      <c r="B125" s="37">
        <v>45931</v>
      </c>
      <c r="C125" s="3">
        <v>-10191.35</v>
      </c>
    </row>
    <row r="126" spans="1:3" s="1" customFormat="1" x14ac:dyDescent="0.35">
      <c r="A126" t="s">
        <v>5</v>
      </c>
      <c r="B126" s="37">
        <v>45931</v>
      </c>
      <c r="C126" s="3">
        <v>-24625.279999999999</v>
      </c>
    </row>
    <row r="127" spans="1:3" s="1" customFormat="1" x14ac:dyDescent="0.35">
      <c r="A127" t="s">
        <v>9</v>
      </c>
      <c r="B127" s="37">
        <v>45931</v>
      </c>
      <c r="C127" s="3">
        <v>170715.56000000003</v>
      </c>
    </row>
    <row r="128" spans="1:3" s="1" customFormat="1" x14ac:dyDescent="0.35">
      <c r="A128" t="s">
        <v>4</v>
      </c>
      <c r="B128" s="37">
        <v>45931</v>
      </c>
      <c r="C128" s="3">
        <v>-29881.85</v>
      </c>
    </row>
    <row r="129" spans="1:12" s="1" customFormat="1" x14ac:dyDescent="0.35">
      <c r="A129" t="s">
        <v>13</v>
      </c>
      <c r="B129" s="37">
        <v>45931</v>
      </c>
      <c r="C129" s="3">
        <v>107561.76</v>
      </c>
    </row>
    <row r="130" spans="1:12" s="1" customFormat="1" x14ac:dyDescent="0.35">
      <c r="A130" t="s">
        <v>0</v>
      </c>
      <c r="B130" s="37">
        <v>45901</v>
      </c>
      <c r="C130" s="3">
        <v>-390061.92</v>
      </c>
      <c r="L130" t="s">
        <v>0</v>
      </c>
    </row>
    <row r="131" spans="1:12" s="1" customFormat="1" x14ac:dyDescent="0.35">
      <c r="A131" t="s">
        <v>1</v>
      </c>
      <c r="B131" s="37">
        <v>45901</v>
      </c>
      <c r="C131" s="3">
        <v>-21385.45</v>
      </c>
    </row>
    <row r="132" spans="1:12" s="1" customFormat="1" x14ac:dyDescent="0.35">
      <c r="A132" t="s">
        <v>7</v>
      </c>
      <c r="B132" s="37">
        <v>45901</v>
      </c>
      <c r="C132" s="3">
        <v>2810.74</v>
      </c>
    </row>
    <row r="133" spans="1:12" s="1" customFormat="1" x14ac:dyDescent="0.35">
      <c r="A133" t="s">
        <v>2</v>
      </c>
      <c r="B133" s="37">
        <v>45901</v>
      </c>
      <c r="C133" s="3">
        <v>-136045.4</v>
      </c>
    </row>
    <row r="134" spans="1:12" s="1" customFormat="1" x14ac:dyDescent="0.35">
      <c r="A134" t="s">
        <v>8</v>
      </c>
      <c r="B134" s="37">
        <v>45901</v>
      </c>
      <c r="C134" s="3">
        <v>113547.76</v>
      </c>
    </row>
    <row r="135" spans="1:12" s="1" customFormat="1" x14ac:dyDescent="0.35">
      <c r="A135" t="s">
        <v>3</v>
      </c>
      <c r="B135" s="37">
        <v>45901</v>
      </c>
      <c r="C135" s="3">
        <v>-34093.18</v>
      </c>
    </row>
    <row r="136" spans="1:12" s="1" customFormat="1" x14ac:dyDescent="0.35">
      <c r="A136" t="s">
        <v>12</v>
      </c>
      <c r="B136" s="37">
        <v>45901</v>
      </c>
      <c r="C136" s="3">
        <v>-36819.379999999997</v>
      </c>
    </row>
    <row r="137" spans="1:12" s="1" customFormat="1" x14ac:dyDescent="0.35">
      <c r="A137" t="s">
        <v>5</v>
      </c>
      <c r="B137" s="37">
        <v>45901</v>
      </c>
      <c r="C137" s="3">
        <v>-8574.2000000000007</v>
      </c>
    </row>
    <row r="138" spans="1:12" s="1" customFormat="1" x14ac:dyDescent="0.35">
      <c r="A138" t="s">
        <v>9</v>
      </c>
      <c r="B138" s="37">
        <v>45901</v>
      </c>
      <c r="C138" s="3">
        <v>208806.25</v>
      </c>
    </row>
    <row r="139" spans="1:12" s="1" customFormat="1" x14ac:dyDescent="0.35">
      <c r="A139" t="s">
        <v>4</v>
      </c>
      <c r="B139" s="37">
        <v>45901</v>
      </c>
      <c r="C139" s="3">
        <v>-20614.21</v>
      </c>
    </row>
    <row r="140" spans="1:12" s="1" customFormat="1" x14ac:dyDescent="0.35">
      <c r="A140" t="s">
        <v>13</v>
      </c>
      <c r="B140" s="37">
        <v>45901</v>
      </c>
      <c r="C140" s="3">
        <v>78748.41</v>
      </c>
    </row>
    <row r="141" spans="1:12" s="1" customFormat="1" x14ac:dyDescent="0.35">
      <c r="A141" t="s">
        <v>0</v>
      </c>
      <c r="B141" s="37">
        <v>45870</v>
      </c>
      <c r="C141" s="3">
        <v>-355833.33</v>
      </c>
    </row>
    <row r="142" spans="1:12" s="1" customFormat="1" x14ac:dyDescent="0.35">
      <c r="A142" t="s">
        <v>1</v>
      </c>
      <c r="B142" s="37">
        <v>45870</v>
      </c>
      <c r="C142" s="3">
        <v>-18067.490000000002</v>
      </c>
    </row>
    <row r="143" spans="1:12" s="1" customFormat="1" x14ac:dyDescent="0.35">
      <c r="A143" t="s">
        <v>7</v>
      </c>
      <c r="B143" s="37">
        <v>45870</v>
      </c>
      <c r="C143" s="3">
        <v>2744.64</v>
      </c>
    </row>
    <row r="144" spans="1:12" s="1" customFormat="1" x14ac:dyDescent="0.35">
      <c r="A144" t="s">
        <v>2</v>
      </c>
      <c r="B144" s="37">
        <v>45870</v>
      </c>
      <c r="C144" s="3">
        <v>-118759.92</v>
      </c>
    </row>
    <row r="145" spans="1:3" s="1" customFormat="1" x14ac:dyDescent="0.35">
      <c r="A145" t="s">
        <v>8</v>
      </c>
      <c r="B145" s="37">
        <v>45870</v>
      </c>
      <c r="C145" s="3">
        <v>60816.31</v>
      </c>
    </row>
    <row r="146" spans="1:3" s="1" customFormat="1" x14ac:dyDescent="0.35">
      <c r="A146" t="s">
        <v>3</v>
      </c>
      <c r="B146" s="37">
        <v>45870</v>
      </c>
      <c r="C146" s="3">
        <v>-33811.25</v>
      </c>
    </row>
    <row r="147" spans="1:3" s="1" customFormat="1" x14ac:dyDescent="0.35">
      <c r="A147" t="s">
        <v>12</v>
      </c>
      <c r="B147" s="37">
        <v>45870</v>
      </c>
      <c r="C147" s="3">
        <v>-15566.35</v>
      </c>
    </row>
    <row r="148" spans="1:3" s="1" customFormat="1" x14ac:dyDescent="0.35">
      <c r="A148" t="s">
        <v>5</v>
      </c>
      <c r="B148" s="37">
        <v>45870</v>
      </c>
      <c r="C148" s="3">
        <v>-13678.47</v>
      </c>
    </row>
    <row r="149" spans="1:3" s="1" customFormat="1" x14ac:dyDescent="0.35">
      <c r="A149" t="s">
        <v>9</v>
      </c>
      <c r="B149" s="37">
        <v>45870</v>
      </c>
      <c r="C149" s="3">
        <v>188085.27000000002</v>
      </c>
    </row>
    <row r="150" spans="1:3" s="1" customFormat="1" x14ac:dyDescent="0.35">
      <c r="A150" t="s">
        <v>4</v>
      </c>
      <c r="B150" s="37">
        <v>45870</v>
      </c>
      <c r="C150" s="3">
        <v>-23790.9</v>
      </c>
    </row>
    <row r="151" spans="1:3" s="1" customFormat="1" x14ac:dyDescent="0.35">
      <c r="A151" t="s">
        <v>13</v>
      </c>
      <c r="B151" s="37">
        <v>45870</v>
      </c>
      <c r="C151" s="3">
        <v>85833</v>
      </c>
    </row>
    <row r="152" spans="1:3" s="1" customFormat="1" x14ac:dyDescent="0.35">
      <c r="A152" t="s">
        <v>0</v>
      </c>
      <c r="B152" s="37">
        <v>45839</v>
      </c>
      <c r="C152" s="3">
        <v>-330219.64</v>
      </c>
    </row>
    <row r="153" spans="1:3" s="1" customFormat="1" x14ac:dyDescent="0.35">
      <c r="A153" t="s">
        <v>1</v>
      </c>
      <c r="B153" s="37">
        <v>45839</v>
      </c>
      <c r="C153" s="3">
        <v>-15094.91</v>
      </c>
    </row>
    <row r="154" spans="1:3" s="1" customFormat="1" x14ac:dyDescent="0.35">
      <c r="A154" t="s">
        <v>7</v>
      </c>
      <c r="B154" s="37">
        <v>45839</v>
      </c>
      <c r="C154" s="3">
        <v>2615.38</v>
      </c>
    </row>
    <row r="155" spans="1:3" s="1" customFormat="1" x14ac:dyDescent="0.35">
      <c r="A155" t="s">
        <v>2</v>
      </c>
      <c r="B155" s="37">
        <v>45839</v>
      </c>
      <c r="C155" s="3">
        <v>-111480.63</v>
      </c>
    </row>
    <row r="156" spans="1:3" s="1" customFormat="1" x14ac:dyDescent="0.35">
      <c r="A156" t="s">
        <v>8</v>
      </c>
      <c r="B156" s="37">
        <v>45839</v>
      </c>
      <c r="C156" s="3">
        <v>76457.8</v>
      </c>
    </row>
    <row r="157" spans="1:3" s="1" customFormat="1" x14ac:dyDescent="0.35">
      <c r="A157" t="s">
        <v>3</v>
      </c>
      <c r="B157" s="37">
        <v>45839</v>
      </c>
      <c r="C157" s="3">
        <v>-34085.519999999997</v>
      </c>
    </row>
    <row r="158" spans="1:3" s="1" customFormat="1" x14ac:dyDescent="0.35">
      <c r="A158" t="s">
        <v>12</v>
      </c>
      <c r="B158" s="37">
        <v>45839</v>
      </c>
      <c r="C158" s="3">
        <v>-27461.620000000003</v>
      </c>
    </row>
    <row r="159" spans="1:3" s="1" customFormat="1" x14ac:dyDescent="0.35">
      <c r="A159" t="s">
        <v>5</v>
      </c>
      <c r="B159" s="37">
        <v>45839</v>
      </c>
      <c r="C159" s="3">
        <v>-4807.7</v>
      </c>
    </row>
    <row r="160" spans="1:3" s="1" customFormat="1" x14ac:dyDescent="0.35">
      <c r="A160" t="s">
        <v>9</v>
      </c>
      <c r="B160" s="37">
        <v>45839</v>
      </c>
      <c r="C160" s="3">
        <v>165312.20000000001</v>
      </c>
    </row>
    <row r="161" spans="1:3" s="1" customFormat="1" x14ac:dyDescent="0.35">
      <c r="A161" t="s">
        <v>4</v>
      </c>
      <c r="B161" s="37">
        <v>45839</v>
      </c>
      <c r="C161" s="3">
        <v>-23790.87</v>
      </c>
    </row>
    <row r="162" spans="1:3" s="1" customFormat="1" x14ac:dyDescent="0.35">
      <c r="A162" t="s">
        <v>13</v>
      </c>
      <c r="B162" s="37">
        <v>45839</v>
      </c>
      <c r="C162" s="3">
        <v>78720</v>
      </c>
    </row>
    <row r="163" spans="1:3" s="1" customFormat="1" x14ac:dyDescent="0.35">
      <c r="A163" t="s">
        <v>0</v>
      </c>
      <c r="B163" s="37">
        <v>45809</v>
      </c>
      <c r="C163" s="3">
        <v>-341992.87</v>
      </c>
    </row>
    <row r="164" spans="1:3" s="1" customFormat="1" x14ac:dyDescent="0.35">
      <c r="A164" t="s">
        <v>1</v>
      </c>
      <c r="B164" s="37">
        <v>45809</v>
      </c>
      <c r="C164" s="3">
        <v>-15900.52</v>
      </c>
    </row>
    <row r="165" spans="1:3" s="1" customFormat="1" x14ac:dyDescent="0.35">
      <c r="A165" t="s">
        <v>7</v>
      </c>
      <c r="B165" s="37">
        <v>45809</v>
      </c>
      <c r="C165" s="3">
        <v>805.44</v>
      </c>
    </row>
    <row r="166" spans="1:3" s="1" customFormat="1" x14ac:dyDescent="0.35">
      <c r="A166" t="s">
        <v>2</v>
      </c>
      <c r="B166" s="37">
        <v>45809</v>
      </c>
      <c r="C166" s="3">
        <v>-125642.1</v>
      </c>
    </row>
    <row r="167" spans="1:3" s="1" customFormat="1" x14ac:dyDescent="0.35">
      <c r="A167" t="s">
        <v>8</v>
      </c>
      <c r="B167" s="37">
        <v>45809</v>
      </c>
      <c r="C167" s="3">
        <v>111934.19</v>
      </c>
    </row>
    <row r="168" spans="1:3" s="1" customFormat="1" x14ac:dyDescent="0.35">
      <c r="A168" t="s">
        <v>3</v>
      </c>
      <c r="B168" s="37">
        <v>45809</v>
      </c>
      <c r="C168" s="3">
        <v>-34435.339999999997</v>
      </c>
    </row>
    <row r="169" spans="1:3" s="1" customFormat="1" x14ac:dyDescent="0.35">
      <c r="A169" t="s">
        <v>12</v>
      </c>
      <c r="B169" s="37">
        <v>45809</v>
      </c>
      <c r="C169" s="3">
        <v>-12127.02</v>
      </c>
    </row>
    <row r="170" spans="1:3" s="1" customFormat="1" x14ac:dyDescent="0.35">
      <c r="A170" t="s">
        <v>5</v>
      </c>
      <c r="B170" s="37">
        <v>45809</v>
      </c>
      <c r="C170" s="3">
        <v>-9133.73</v>
      </c>
    </row>
    <row r="171" spans="1:3" s="1" customFormat="1" x14ac:dyDescent="0.35">
      <c r="A171" t="s">
        <v>9</v>
      </c>
      <c r="B171" s="37">
        <v>45809</v>
      </c>
      <c r="C171" s="3">
        <v>343513.62999999995</v>
      </c>
    </row>
    <row r="172" spans="1:3" s="1" customFormat="1" x14ac:dyDescent="0.35">
      <c r="A172" t="s">
        <v>4</v>
      </c>
      <c r="B172" s="37">
        <v>45809</v>
      </c>
      <c r="C172" s="3">
        <v>-23023.43</v>
      </c>
    </row>
    <row r="173" spans="1:3" s="1" customFormat="1" x14ac:dyDescent="0.35">
      <c r="A173" t="s">
        <v>13</v>
      </c>
      <c r="B173" s="37">
        <v>45809</v>
      </c>
      <c r="C173" s="3">
        <v>26394</v>
      </c>
    </row>
    <row r="174" spans="1:3" x14ac:dyDescent="0.35">
      <c r="A174" t="s">
        <v>0</v>
      </c>
      <c r="B174" s="37">
        <v>45778</v>
      </c>
      <c r="C174" s="3">
        <v>-347838.97</v>
      </c>
    </row>
    <row r="175" spans="1:3" x14ac:dyDescent="0.35">
      <c r="A175" t="s">
        <v>1</v>
      </c>
      <c r="B175" s="37">
        <v>45778</v>
      </c>
      <c r="C175" s="3">
        <v>-13550.32</v>
      </c>
    </row>
    <row r="176" spans="1:3" x14ac:dyDescent="0.35">
      <c r="A176" t="s">
        <v>7</v>
      </c>
      <c r="B176" s="37">
        <v>45778</v>
      </c>
      <c r="C176" s="3">
        <v>486.38</v>
      </c>
    </row>
    <row r="177" spans="1:3" x14ac:dyDescent="0.35">
      <c r="A177" t="s">
        <v>2</v>
      </c>
      <c r="B177" s="37">
        <v>45778</v>
      </c>
      <c r="C177" s="3">
        <v>-112015.39</v>
      </c>
    </row>
    <row r="178" spans="1:3" x14ac:dyDescent="0.35">
      <c r="A178" t="s">
        <v>8</v>
      </c>
      <c r="B178" s="37">
        <v>45778</v>
      </c>
      <c r="C178" s="3">
        <v>91831.74</v>
      </c>
    </row>
    <row r="179" spans="1:3" x14ac:dyDescent="0.35">
      <c r="A179" t="s">
        <v>3</v>
      </c>
      <c r="B179" s="37">
        <v>45778</v>
      </c>
      <c r="C179" s="3">
        <v>-35539.07</v>
      </c>
    </row>
    <row r="180" spans="1:3" x14ac:dyDescent="0.35">
      <c r="A180" t="s">
        <v>12</v>
      </c>
      <c r="B180" s="37">
        <v>45778</v>
      </c>
      <c r="C180" s="3">
        <v>-19684.850000000002</v>
      </c>
    </row>
    <row r="181" spans="1:3" x14ac:dyDescent="0.35">
      <c r="A181" t="s">
        <v>5</v>
      </c>
      <c r="B181" s="37">
        <v>45778</v>
      </c>
      <c r="C181" s="3">
        <v>-14016.7</v>
      </c>
    </row>
    <row r="182" spans="1:3" x14ac:dyDescent="0.35">
      <c r="A182" t="s">
        <v>9</v>
      </c>
      <c r="B182" s="37">
        <v>45778</v>
      </c>
      <c r="C182" s="3">
        <v>157004.96</v>
      </c>
    </row>
    <row r="183" spans="1:3" x14ac:dyDescent="0.35">
      <c r="A183" t="s">
        <v>4</v>
      </c>
      <c r="B183" s="37">
        <v>45778</v>
      </c>
      <c r="C183" s="3">
        <v>-22262.09</v>
      </c>
    </row>
    <row r="184" spans="1:3" x14ac:dyDescent="0.35">
      <c r="A184" t="s">
        <v>13</v>
      </c>
      <c r="B184" s="37">
        <v>45778</v>
      </c>
      <c r="C184" s="3">
        <v>81605</v>
      </c>
    </row>
    <row r="185" spans="1:3" x14ac:dyDescent="0.35">
      <c r="A185" t="s">
        <v>0</v>
      </c>
      <c r="B185" s="37">
        <v>45748</v>
      </c>
      <c r="C185" s="3">
        <v>-333743.46999999997</v>
      </c>
    </row>
    <row r="186" spans="1:3" x14ac:dyDescent="0.35">
      <c r="A186" t="s">
        <v>1</v>
      </c>
      <c r="B186" s="37">
        <v>45748</v>
      </c>
      <c r="C186" s="3">
        <v>-13113.21</v>
      </c>
    </row>
    <row r="187" spans="1:3" x14ac:dyDescent="0.35">
      <c r="A187" t="s">
        <v>7</v>
      </c>
      <c r="B187" s="37">
        <v>45748</v>
      </c>
      <c r="C187" s="3">
        <v>539.19000000000005</v>
      </c>
    </row>
    <row r="188" spans="1:3" x14ac:dyDescent="0.35">
      <c r="A188" t="s">
        <v>2</v>
      </c>
      <c r="B188" s="37">
        <v>45748</v>
      </c>
      <c r="C188" s="3">
        <v>-113455.67</v>
      </c>
    </row>
    <row r="189" spans="1:3" x14ac:dyDescent="0.35">
      <c r="A189" t="s">
        <v>8</v>
      </c>
      <c r="B189" s="37">
        <v>45748</v>
      </c>
      <c r="C189" s="3">
        <v>69899.22</v>
      </c>
    </row>
    <row r="190" spans="1:3" x14ac:dyDescent="0.35">
      <c r="A190" t="s">
        <v>3</v>
      </c>
      <c r="B190" s="37">
        <v>45748</v>
      </c>
      <c r="C190" s="3">
        <v>-38365.620000000003</v>
      </c>
    </row>
    <row r="191" spans="1:3" x14ac:dyDescent="0.35">
      <c r="A191" t="s">
        <v>12</v>
      </c>
      <c r="B191" s="37">
        <v>45748</v>
      </c>
      <c r="C191" s="3">
        <v>-802.32999999999993</v>
      </c>
    </row>
    <row r="192" spans="1:3" x14ac:dyDescent="0.35">
      <c r="A192" t="s">
        <v>5</v>
      </c>
      <c r="B192" s="37">
        <v>45748</v>
      </c>
      <c r="C192" s="3">
        <v>-14042.64</v>
      </c>
    </row>
    <row r="193" spans="1:3" x14ac:dyDescent="0.35">
      <c r="A193" t="s">
        <v>9</v>
      </c>
      <c r="B193" s="37">
        <v>45748</v>
      </c>
      <c r="C193" s="3">
        <v>153155.69000000003</v>
      </c>
    </row>
    <row r="194" spans="1:3" x14ac:dyDescent="0.35">
      <c r="A194" t="s">
        <v>4</v>
      </c>
      <c r="B194" s="37">
        <v>45748</v>
      </c>
      <c r="C194" s="3">
        <v>-21543.98</v>
      </c>
    </row>
    <row r="195" spans="1:3" x14ac:dyDescent="0.35">
      <c r="A195" t="s">
        <v>0</v>
      </c>
      <c r="B195" s="37">
        <v>45658</v>
      </c>
      <c r="C195" s="3">
        <v>-343853.07</v>
      </c>
    </row>
    <row r="196" spans="1:3" x14ac:dyDescent="0.35">
      <c r="A196" t="s">
        <v>1</v>
      </c>
      <c r="B196" s="37">
        <v>45658</v>
      </c>
      <c r="C196" s="3">
        <v>-16727.73</v>
      </c>
    </row>
    <row r="197" spans="1:3" x14ac:dyDescent="0.35">
      <c r="A197" t="s">
        <v>7</v>
      </c>
      <c r="B197" s="37">
        <v>45658</v>
      </c>
      <c r="C197" s="3">
        <v>1934.88</v>
      </c>
    </row>
    <row r="198" spans="1:3" x14ac:dyDescent="0.35">
      <c r="A198" t="s">
        <v>2</v>
      </c>
      <c r="B198" s="37">
        <v>45658</v>
      </c>
      <c r="C198" s="3">
        <v>-121700.37</v>
      </c>
    </row>
    <row r="199" spans="1:3" x14ac:dyDescent="0.35">
      <c r="A199" t="s">
        <v>8</v>
      </c>
      <c r="B199" s="37">
        <v>45658</v>
      </c>
      <c r="C199" s="3">
        <v>118511.42</v>
      </c>
    </row>
    <row r="200" spans="1:3" x14ac:dyDescent="0.35">
      <c r="A200" t="s">
        <v>3</v>
      </c>
      <c r="B200" s="37">
        <v>45658</v>
      </c>
      <c r="C200" s="3">
        <v>-37234.410000000003</v>
      </c>
    </row>
    <row r="201" spans="1:3" x14ac:dyDescent="0.35">
      <c r="A201" t="s">
        <v>12</v>
      </c>
      <c r="B201" s="37">
        <v>45658</v>
      </c>
      <c r="C201" s="3">
        <v>-26513.59</v>
      </c>
    </row>
    <row r="202" spans="1:3" x14ac:dyDescent="0.35">
      <c r="A202" t="s">
        <v>5</v>
      </c>
      <c r="B202" s="37">
        <v>45658</v>
      </c>
      <c r="C202" s="3">
        <v>0</v>
      </c>
    </row>
    <row r="203" spans="1:3" x14ac:dyDescent="0.35">
      <c r="A203" t="s">
        <v>9</v>
      </c>
      <c r="B203" s="37">
        <v>45658</v>
      </c>
      <c r="C203" s="3">
        <v>159967.87</v>
      </c>
    </row>
    <row r="204" spans="1:3" x14ac:dyDescent="0.35">
      <c r="A204" t="s">
        <v>4</v>
      </c>
      <c r="B204" s="37">
        <v>45658</v>
      </c>
      <c r="C204" s="3">
        <v>-11401.75</v>
      </c>
    </row>
    <row r="205" spans="1:3" x14ac:dyDescent="0.35">
      <c r="A205" t="s">
        <v>13</v>
      </c>
      <c r="B205" s="37">
        <v>45658</v>
      </c>
      <c r="C205" s="3">
        <v>71734.720000000001</v>
      </c>
    </row>
    <row r="206" spans="1:3" x14ac:dyDescent="0.35">
      <c r="A206" t="s">
        <v>13</v>
      </c>
      <c r="B206" s="37">
        <v>45748</v>
      </c>
      <c r="C206" s="3">
        <v>68950</v>
      </c>
    </row>
    <row r="207" spans="1:3" x14ac:dyDescent="0.35">
      <c r="A207" t="s">
        <v>0</v>
      </c>
      <c r="B207" s="37">
        <v>45627</v>
      </c>
      <c r="C207" s="3">
        <v>-341338.41</v>
      </c>
    </row>
    <row r="208" spans="1:3" x14ac:dyDescent="0.35">
      <c r="A208" t="s">
        <v>1</v>
      </c>
      <c r="B208" s="37">
        <v>45627</v>
      </c>
      <c r="C208" s="3">
        <v>-15228.66</v>
      </c>
    </row>
    <row r="209" spans="1:3" x14ac:dyDescent="0.35">
      <c r="A209" t="s">
        <v>7</v>
      </c>
      <c r="B209" s="37">
        <v>45627</v>
      </c>
      <c r="C209" s="3">
        <v>1929.01</v>
      </c>
    </row>
    <row r="210" spans="1:3" x14ac:dyDescent="0.35">
      <c r="A210" t="s">
        <v>2</v>
      </c>
      <c r="B210" s="37">
        <v>45627</v>
      </c>
      <c r="C210" s="3">
        <v>-109973.56</v>
      </c>
    </row>
    <row r="211" spans="1:3" x14ac:dyDescent="0.35">
      <c r="A211" t="s">
        <v>8</v>
      </c>
      <c r="B211" s="37">
        <v>45627</v>
      </c>
      <c r="C211" s="3">
        <v>104418.4</v>
      </c>
    </row>
    <row r="212" spans="1:3" x14ac:dyDescent="0.35">
      <c r="A212" t="s">
        <v>3</v>
      </c>
      <c r="B212" s="37">
        <v>45627</v>
      </c>
      <c r="C212" s="3">
        <v>-35923.599999999999</v>
      </c>
    </row>
    <row r="213" spans="1:3" x14ac:dyDescent="0.35">
      <c r="A213" t="s">
        <v>12</v>
      </c>
      <c r="B213" s="37">
        <v>45627</v>
      </c>
      <c r="C213" s="3">
        <v>-24665.899999999998</v>
      </c>
    </row>
    <row r="214" spans="1:3" x14ac:dyDescent="0.35">
      <c r="A214" t="s">
        <v>5</v>
      </c>
      <c r="B214" s="37">
        <v>45627</v>
      </c>
      <c r="C214" s="3">
        <v>-11095</v>
      </c>
    </row>
    <row r="215" spans="1:3" x14ac:dyDescent="0.35">
      <c r="A215" t="s">
        <v>9</v>
      </c>
      <c r="B215" s="37">
        <v>45627</v>
      </c>
      <c r="C215" s="3">
        <v>150931.68000000002</v>
      </c>
    </row>
    <row r="216" spans="1:3" x14ac:dyDescent="0.35">
      <c r="A216" t="s">
        <v>4</v>
      </c>
      <c r="B216" s="37">
        <v>45627</v>
      </c>
      <c r="C216" s="3">
        <v>-11890.46</v>
      </c>
    </row>
    <row r="217" spans="1:3" x14ac:dyDescent="0.35">
      <c r="A217" t="s">
        <v>13</v>
      </c>
      <c r="B217" s="37">
        <v>45627</v>
      </c>
      <c r="C217" s="3">
        <v>63229</v>
      </c>
    </row>
    <row r="218" spans="1:3" x14ac:dyDescent="0.35">
      <c r="A218" t="s">
        <v>0</v>
      </c>
      <c r="B218" s="37">
        <v>45597</v>
      </c>
      <c r="C218" s="3">
        <v>-338698.12</v>
      </c>
    </row>
    <row r="219" spans="1:3" x14ac:dyDescent="0.35">
      <c r="A219" t="s">
        <v>1</v>
      </c>
      <c r="B219" s="37">
        <v>45597</v>
      </c>
      <c r="C219" s="3">
        <v>-31778.52</v>
      </c>
    </row>
    <row r="220" spans="1:3" x14ac:dyDescent="0.35">
      <c r="A220" t="s">
        <v>7</v>
      </c>
      <c r="B220" s="37">
        <v>45597</v>
      </c>
      <c r="C220" s="3">
        <v>1860.7</v>
      </c>
    </row>
    <row r="221" spans="1:3" x14ac:dyDescent="0.35">
      <c r="A221" t="s">
        <v>2</v>
      </c>
      <c r="B221" s="37">
        <v>45597</v>
      </c>
      <c r="C221" s="3">
        <v>-94782.04</v>
      </c>
    </row>
    <row r="222" spans="1:3" x14ac:dyDescent="0.35">
      <c r="A222" t="s">
        <v>8</v>
      </c>
      <c r="B222" s="37">
        <v>45597</v>
      </c>
      <c r="C222" s="3">
        <v>110141.24</v>
      </c>
    </row>
    <row r="223" spans="1:3" x14ac:dyDescent="0.35">
      <c r="A223" t="s">
        <v>3</v>
      </c>
      <c r="B223" s="37">
        <v>45597</v>
      </c>
      <c r="C223" s="3">
        <v>-32416.99</v>
      </c>
    </row>
    <row r="224" spans="1:3" x14ac:dyDescent="0.35">
      <c r="A224" t="s">
        <v>12</v>
      </c>
      <c r="B224" s="37">
        <v>45597</v>
      </c>
      <c r="C224" s="3">
        <v>-24963.520000000004</v>
      </c>
    </row>
    <row r="225" spans="1:3" x14ac:dyDescent="0.35">
      <c r="A225" t="s">
        <v>5</v>
      </c>
      <c r="B225" s="37">
        <v>45597</v>
      </c>
      <c r="C225" s="3">
        <v>0</v>
      </c>
    </row>
    <row r="226" spans="1:3" x14ac:dyDescent="0.35">
      <c r="A226" t="s">
        <v>9</v>
      </c>
      <c r="B226" s="37">
        <v>45597</v>
      </c>
      <c r="C226" s="3">
        <v>150017.29</v>
      </c>
    </row>
    <row r="227" spans="1:3" x14ac:dyDescent="0.35">
      <c r="A227" t="s">
        <v>4</v>
      </c>
      <c r="B227" s="37">
        <v>45597</v>
      </c>
      <c r="C227" s="3">
        <v>-14131.5</v>
      </c>
    </row>
    <row r="228" spans="1:3" x14ac:dyDescent="0.35">
      <c r="A228" t="s">
        <v>13</v>
      </c>
      <c r="B228" s="37">
        <v>45597</v>
      </c>
      <c r="C228" s="3">
        <v>66265</v>
      </c>
    </row>
    <row r="229" spans="1:3" x14ac:dyDescent="0.35">
      <c r="A229" t="s">
        <v>0</v>
      </c>
      <c r="B229" s="37">
        <v>45566</v>
      </c>
      <c r="C229" s="3">
        <v>-354813.3</v>
      </c>
    </row>
    <row r="230" spans="1:3" x14ac:dyDescent="0.35">
      <c r="A230" t="s">
        <v>1</v>
      </c>
      <c r="B230" s="37">
        <v>45566</v>
      </c>
      <c r="C230" s="3">
        <v>-11406.74</v>
      </c>
    </row>
    <row r="231" spans="1:3" x14ac:dyDescent="0.35">
      <c r="A231" t="s">
        <v>7</v>
      </c>
      <c r="B231" s="37">
        <v>45566</v>
      </c>
      <c r="C231" s="3">
        <v>55014.13</v>
      </c>
    </row>
    <row r="232" spans="1:3" x14ac:dyDescent="0.35">
      <c r="A232" t="s">
        <v>2</v>
      </c>
      <c r="B232" s="37">
        <v>45566</v>
      </c>
      <c r="C232" s="3">
        <v>-94015.56</v>
      </c>
    </row>
    <row r="233" spans="1:3" x14ac:dyDescent="0.35">
      <c r="A233" t="s">
        <v>8</v>
      </c>
      <c r="B233" s="37">
        <v>45566</v>
      </c>
      <c r="C233" s="3">
        <v>93031.85</v>
      </c>
    </row>
    <row r="234" spans="1:3" x14ac:dyDescent="0.35">
      <c r="A234" t="s">
        <v>3</v>
      </c>
      <c r="B234" s="37">
        <v>45566</v>
      </c>
      <c r="C234" s="3">
        <v>-29959.89</v>
      </c>
    </row>
    <row r="235" spans="1:3" x14ac:dyDescent="0.35">
      <c r="A235" t="s">
        <v>12</v>
      </c>
      <c r="B235" s="37">
        <v>45566</v>
      </c>
      <c r="C235" s="3">
        <v>-24145.32</v>
      </c>
    </row>
    <row r="236" spans="1:3" x14ac:dyDescent="0.35">
      <c r="A236" t="s">
        <v>5</v>
      </c>
      <c r="B236" s="37">
        <v>45566</v>
      </c>
      <c r="C236" s="3">
        <v>3188.78</v>
      </c>
    </row>
    <row r="237" spans="1:3" x14ac:dyDescent="0.35">
      <c r="A237" t="s">
        <v>9</v>
      </c>
      <c r="B237" s="37">
        <v>45566</v>
      </c>
      <c r="C237" s="3">
        <v>158246.07</v>
      </c>
    </row>
    <row r="238" spans="1:3" x14ac:dyDescent="0.35">
      <c r="A238" t="s">
        <v>4</v>
      </c>
      <c r="B238" s="37">
        <v>45566</v>
      </c>
      <c r="C238" s="3">
        <v>-12903.92</v>
      </c>
    </row>
    <row r="239" spans="1:3" x14ac:dyDescent="0.35">
      <c r="A239" t="s">
        <v>13</v>
      </c>
      <c r="B239" s="37">
        <v>45566</v>
      </c>
      <c r="C239" s="3">
        <v>75262.12</v>
      </c>
    </row>
    <row r="240" spans="1:3" x14ac:dyDescent="0.35">
      <c r="A240" t="s">
        <v>0</v>
      </c>
      <c r="B240" s="37">
        <v>45536</v>
      </c>
      <c r="C240" s="3">
        <v>-337908.82</v>
      </c>
    </row>
    <row r="241" spans="1:3" x14ac:dyDescent="0.35">
      <c r="A241" t="s">
        <v>1</v>
      </c>
      <c r="B241" s="37">
        <v>45536</v>
      </c>
      <c r="C241" s="3">
        <v>-10254.35</v>
      </c>
    </row>
    <row r="242" spans="1:3" x14ac:dyDescent="0.35">
      <c r="A242" t="s">
        <v>7</v>
      </c>
      <c r="B242" s="37">
        <v>45536</v>
      </c>
      <c r="C242" s="3">
        <v>6136.45</v>
      </c>
    </row>
    <row r="243" spans="1:3" x14ac:dyDescent="0.35">
      <c r="A243" t="s">
        <v>2</v>
      </c>
      <c r="B243" s="37">
        <v>45536</v>
      </c>
      <c r="C243" s="3">
        <v>-83423.990000000005</v>
      </c>
    </row>
    <row r="244" spans="1:3" x14ac:dyDescent="0.35">
      <c r="A244" t="s">
        <v>8</v>
      </c>
      <c r="B244" s="37">
        <v>45536</v>
      </c>
      <c r="C244" s="3">
        <v>78966.479999999981</v>
      </c>
    </row>
    <row r="245" spans="1:3" x14ac:dyDescent="0.35">
      <c r="A245" t="s">
        <v>3</v>
      </c>
      <c r="B245" s="37">
        <v>45536</v>
      </c>
      <c r="C245" s="3">
        <v>-23817.74</v>
      </c>
    </row>
    <row r="246" spans="1:3" x14ac:dyDescent="0.35">
      <c r="A246" t="s">
        <v>12</v>
      </c>
      <c r="B246" s="37">
        <v>45536</v>
      </c>
      <c r="C246" s="3">
        <v>-13811.399999999996</v>
      </c>
    </row>
    <row r="247" spans="1:3" x14ac:dyDescent="0.35">
      <c r="A247" t="s">
        <v>5</v>
      </c>
      <c r="B247" s="37">
        <v>45536</v>
      </c>
      <c r="C247" s="3">
        <v>-15249.32</v>
      </c>
    </row>
    <row r="248" spans="1:3" x14ac:dyDescent="0.35">
      <c r="A248" t="s">
        <v>9</v>
      </c>
      <c r="B248" s="37">
        <v>45536</v>
      </c>
      <c r="C248" s="3">
        <v>152407.76</v>
      </c>
    </row>
    <row r="249" spans="1:3" x14ac:dyDescent="0.35">
      <c r="A249" t="s">
        <v>4</v>
      </c>
      <c r="B249" s="37">
        <v>45536</v>
      </c>
      <c r="C249" s="3">
        <v>-12487.66</v>
      </c>
    </row>
    <row r="250" spans="1:3" x14ac:dyDescent="0.35">
      <c r="A250" t="s">
        <v>13</v>
      </c>
      <c r="B250" s="37">
        <v>45536</v>
      </c>
      <c r="C250" s="3">
        <v>86706</v>
      </c>
    </row>
    <row r="251" spans="1:3" x14ac:dyDescent="0.35">
      <c r="A251" t="s">
        <v>0</v>
      </c>
      <c r="B251" s="37">
        <v>45505</v>
      </c>
      <c r="C251" s="3">
        <v>-338087.72</v>
      </c>
    </row>
    <row r="252" spans="1:3" x14ac:dyDescent="0.35">
      <c r="A252" t="s">
        <v>1</v>
      </c>
      <c r="B252" s="37">
        <v>45505</v>
      </c>
      <c r="C252" s="3">
        <v>-10464.34</v>
      </c>
    </row>
    <row r="253" spans="1:3" x14ac:dyDescent="0.35">
      <c r="A253" t="s">
        <v>7</v>
      </c>
      <c r="B253" s="37">
        <v>45505</v>
      </c>
      <c r="C253" s="3">
        <v>5822.75</v>
      </c>
    </row>
    <row r="254" spans="1:3" x14ac:dyDescent="0.35">
      <c r="A254" t="s">
        <v>2</v>
      </c>
      <c r="B254" s="37">
        <v>45505</v>
      </c>
      <c r="C254" s="3">
        <v>-86204.82</v>
      </c>
    </row>
    <row r="255" spans="1:3" x14ac:dyDescent="0.35">
      <c r="A255" t="s">
        <v>8</v>
      </c>
      <c r="B255" s="37">
        <v>45505</v>
      </c>
      <c r="C255" s="3">
        <v>72232.84</v>
      </c>
    </row>
    <row r="256" spans="1:3" x14ac:dyDescent="0.35">
      <c r="A256" t="s">
        <v>3</v>
      </c>
      <c r="B256" s="37">
        <v>45505</v>
      </c>
      <c r="C256" s="3">
        <v>-28887.87</v>
      </c>
    </row>
    <row r="257" spans="1:3" x14ac:dyDescent="0.35">
      <c r="A257" t="s">
        <v>12</v>
      </c>
      <c r="B257" s="37">
        <v>45505</v>
      </c>
      <c r="C257" s="3">
        <v>-11127.949999999999</v>
      </c>
    </row>
    <row r="258" spans="1:3" x14ac:dyDescent="0.35">
      <c r="A258" t="s">
        <v>9</v>
      </c>
      <c r="B258" s="37">
        <v>45505</v>
      </c>
      <c r="C258" s="3">
        <v>238728.43</v>
      </c>
    </row>
    <row r="259" spans="1:3" x14ac:dyDescent="0.35">
      <c r="A259" t="s">
        <v>4</v>
      </c>
      <c r="B259" s="37">
        <v>45505</v>
      </c>
      <c r="C259" s="3">
        <v>-10525.84</v>
      </c>
    </row>
    <row r="260" spans="1:3" x14ac:dyDescent="0.35">
      <c r="A260" t="s">
        <v>13</v>
      </c>
      <c r="B260" s="37">
        <v>45505</v>
      </c>
      <c r="C260" s="3">
        <v>80242.11</v>
      </c>
    </row>
    <row r="261" spans="1:3" x14ac:dyDescent="0.35">
      <c r="A261" t="s">
        <v>0</v>
      </c>
      <c r="B261" s="37">
        <v>45474</v>
      </c>
      <c r="C261" s="3">
        <v>-341088.88</v>
      </c>
    </row>
    <row r="262" spans="1:3" x14ac:dyDescent="0.35">
      <c r="A262" t="s">
        <v>1</v>
      </c>
      <c r="B262" s="37">
        <v>45474</v>
      </c>
      <c r="C262" s="3">
        <v>-10464.35</v>
      </c>
    </row>
    <row r="263" spans="1:3" x14ac:dyDescent="0.35">
      <c r="A263" t="s">
        <v>7</v>
      </c>
      <c r="B263" s="37">
        <v>45474</v>
      </c>
      <c r="C263" s="3">
        <v>25780.1</v>
      </c>
    </row>
    <row r="264" spans="1:3" x14ac:dyDescent="0.35">
      <c r="A264" t="s">
        <v>2</v>
      </c>
      <c r="B264" s="37">
        <v>45474</v>
      </c>
      <c r="C264" s="3">
        <v>-86055.81</v>
      </c>
    </row>
    <row r="265" spans="1:3" x14ac:dyDescent="0.35">
      <c r="A265" t="s">
        <v>8</v>
      </c>
      <c r="B265" s="37">
        <v>45474</v>
      </c>
      <c r="C265" s="3">
        <v>98716.81</v>
      </c>
    </row>
    <row r="266" spans="1:3" x14ac:dyDescent="0.35">
      <c r="A266" t="s">
        <v>3</v>
      </c>
      <c r="B266" s="37">
        <v>45474</v>
      </c>
      <c r="C266" s="3">
        <v>-28681.02</v>
      </c>
    </row>
    <row r="267" spans="1:3" x14ac:dyDescent="0.35">
      <c r="A267" t="s">
        <v>12</v>
      </c>
      <c r="B267" s="37">
        <v>45474</v>
      </c>
      <c r="C267" s="3">
        <v>-11364.330000000002</v>
      </c>
    </row>
    <row r="268" spans="1:3" x14ac:dyDescent="0.35">
      <c r="A268" t="s">
        <v>5</v>
      </c>
      <c r="B268" s="37">
        <v>45474</v>
      </c>
      <c r="C268" s="3">
        <v>-7732.5</v>
      </c>
    </row>
    <row r="269" spans="1:3" x14ac:dyDescent="0.35">
      <c r="A269" t="s">
        <v>9</v>
      </c>
      <c r="B269" s="37">
        <v>45474</v>
      </c>
      <c r="C269" s="3">
        <v>148691.65000000002</v>
      </c>
    </row>
    <row r="270" spans="1:3" x14ac:dyDescent="0.35">
      <c r="A270" t="s">
        <v>4</v>
      </c>
      <c r="B270" s="37">
        <v>45474</v>
      </c>
      <c r="C270" s="3">
        <v>-10525.84</v>
      </c>
    </row>
    <row r="271" spans="1:3" x14ac:dyDescent="0.35">
      <c r="A271" t="s">
        <v>13</v>
      </c>
      <c r="B271" s="37">
        <v>45474</v>
      </c>
      <c r="C271" s="3">
        <v>32034.45</v>
      </c>
    </row>
    <row r="272" spans="1:3" x14ac:dyDescent="0.35">
      <c r="A272" t="s">
        <v>0</v>
      </c>
      <c r="B272" s="37">
        <v>45444</v>
      </c>
      <c r="C272" s="3">
        <v>-322160.90000000002</v>
      </c>
    </row>
    <row r="273" spans="1:3" x14ac:dyDescent="0.35">
      <c r="A273" t="s">
        <v>1</v>
      </c>
      <c r="B273" s="37">
        <v>45444</v>
      </c>
      <c r="C273" s="3">
        <v>-7085.7</v>
      </c>
    </row>
    <row r="274" spans="1:3" x14ac:dyDescent="0.35">
      <c r="A274" t="s">
        <v>7</v>
      </c>
      <c r="B274" s="37">
        <v>45444</v>
      </c>
      <c r="C274" s="3">
        <v>36583.339999999997</v>
      </c>
    </row>
    <row r="275" spans="1:3" x14ac:dyDescent="0.35">
      <c r="A275" t="s">
        <v>2</v>
      </c>
      <c r="B275" s="37">
        <v>45444</v>
      </c>
      <c r="C275" s="3">
        <v>-84957.82</v>
      </c>
    </row>
    <row r="276" spans="1:3" x14ac:dyDescent="0.35">
      <c r="A276" t="s">
        <v>8</v>
      </c>
      <c r="B276" s="37">
        <v>45444</v>
      </c>
      <c r="C276" s="3">
        <v>68117.710000000006</v>
      </c>
    </row>
    <row r="277" spans="1:3" x14ac:dyDescent="0.35">
      <c r="A277" t="s">
        <v>3</v>
      </c>
      <c r="B277" s="37">
        <v>45444</v>
      </c>
      <c r="C277" s="3">
        <v>-45556.51</v>
      </c>
    </row>
    <row r="278" spans="1:3" x14ac:dyDescent="0.35">
      <c r="A278" t="s">
        <v>12</v>
      </c>
      <c r="B278" s="37">
        <v>45444</v>
      </c>
      <c r="C278" s="3">
        <v>-14642.420000000002</v>
      </c>
    </row>
    <row r="279" spans="1:3" x14ac:dyDescent="0.35">
      <c r="A279" t="s">
        <v>9</v>
      </c>
      <c r="B279" s="37">
        <v>45444</v>
      </c>
      <c r="C279" s="3">
        <v>141035.73000000001</v>
      </c>
    </row>
    <row r="280" spans="1:3" x14ac:dyDescent="0.35">
      <c r="A280" t="s">
        <v>4</v>
      </c>
      <c r="B280" s="37">
        <v>45444</v>
      </c>
      <c r="C280" s="3">
        <v>-10186.290000000001</v>
      </c>
    </row>
    <row r="281" spans="1:3" x14ac:dyDescent="0.35">
      <c r="A281" t="s">
        <v>13</v>
      </c>
      <c r="B281" s="37">
        <v>45444</v>
      </c>
      <c r="C281" s="3">
        <v>42829.52</v>
      </c>
    </row>
    <row r="282" spans="1:3" x14ac:dyDescent="0.35">
      <c r="A282" t="s">
        <v>0</v>
      </c>
      <c r="B282" s="37">
        <v>45413</v>
      </c>
      <c r="C282" s="3">
        <v>-329099.65000000002</v>
      </c>
    </row>
    <row r="283" spans="1:3" x14ac:dyDescent="0.35">
      <c r="A283" t="s">
        <v>1</v>
      </c>
      <c r="B283" s="37">
        <v>45413</v>
      </c>
      <c r="C283" s="3">
        <v>-7321.88</v>
      </c>
    </row>
    <row r="284" spans="1:3" x14ac:dyDescent="0.35">
      <c r="A284" t="s">
        <v>7</v>
      </c>
      <c r="B284" s="37">
        <v>45413</v>
      </c>
      <c r="C284" s="3">
        <v>6655.11</v>
      </c>
    </row>
    <row r="285" spans="1:3" x14ac:dyDescent="0.35">
      <c r="A285" t="s">
        <v>2</v>
      </c>
      <c r="B285" s="37">
        <v>45413</v>
      </c>
      <c r="C285" s="3">
        <v>-78034.899999999994</v>
      </c>
    </row>
    <row r="286" spans="1:3" x14ac:dyDescent="0.35">
      <c r="A286" t="s">
        <v>8</v>
      </c>
      <c r="B286" s="37">
        <v>45413</v>
      </c>
      <c r="C286" s="3">
        <v>61042.189999999995</v>
      </c>
    </row>
    <row r="287" spans="1:3" x14ac:dyDescent="0.35">
      <c r="A287" t="s">
        <v>3</v>
      </c>
      <c r="B287" s="37">
        <v>45413</v>
      </c>
      <c r="C287" s="3">
        <v>-47118.62</v>
      </c>
    </row>
    <row r="288" spans="1:3" x14ac:dyDescent="0.35">
      <c r="A288" t="s">
        <v>12</v>
      </c>
      <c r="B288" s="37">
        <v>45413</v>
      </c>
      <c r="C288" s="3">
        <v>-13882.26</v>
      </c>
    </row>
    <row r="289" spans="1:3" x14ac:dyDescent="0.35">
      <c r="A289" t="s">
        <v>5</v>
      </c>
      <c r="B289" s="37">
        <v>45413</v>
      </c>
      <c r="C289" s="3">
        <v>-10916.66</v>
      </c>
    </row>
    <row r="290" spans="1:3" x14ac:dyDescent="0.35">
      <c r="A290" t="s">
        <v>9</v>
      </c>
      <c r="B290" s="37">
        <v>45413</v>
      </c>
      <c r="C290" s="3">
        <v>124602.1</v>
      </c>
    </row>
    <row r="291" spans="1:3" x14ac:dyDescent="0.35">
      <c r="A291" t="s">
        <v>4</v>
      </c>
      <c r="B291" s="37">
        <v>45413</v>
      </c>
      <c r="C291" s="3">
        <v>-5509.7</v>
      </c>
    </row>
    <row r="292" spans="1:3" x14ac:dyDescent="0.35">
      <c r="A292" t="s">
        <v>13</v>
      </c>
      <c r="B292" s="37">
        <v>45413</v>
      </c>
      <c r="C292" s="3">
        <v>55839.87</v>
      </c>
    </row>
    <row r="293" spans="1:3" x14ac:dyDescent="0.35">
      <c r="A293" t="s">
        <v>0</v>
      </c>
      <c r="B293" s="37">
        <v>45383</v>
      </c>
      <c r="C293" s="3">
        <v>-320579.06</v>
      </c>
    </row>
    <row r="294" spans="1:3" x14ac:dyDescent="0.35">
      <c r="A294" t="s">
        <v>1</v>
      </c>
      <c r="B294" s="37">
        <v>45383</v>
      </c>
      <c r="C294" s="3">
        <v>-7085.7</v>
      </c>
    </row>
    <row r="295" spans="1:3" x14ac:dyDescent="0.35">
      <c r="A295" t="s">
        <v>7</v>
      </c>
      <c r="B295" s="37">
        <v>45383</v>
      </c>
      <c r="C295" s="3">
        <v>7155.9</v>
      </c>
    </row>
    <row r="296" spans="1:3" x14ac:dyDescent="0.35">
      <c r="A296" t="s">
        <v>2</v>
      </c>
      <c r="B296" s="37">
        <v>45383</v>
      </c>
      <c r="C296" s="3">
        <v>-76659.13</v>
      </c>
    </row>
    <row r="297" spans="1:3" x14ac:dyDescent="0.35">
      <c r="A297" t="s">
        <v>8</v>
      </c>
      <c r="B297" s="37">
        <v>45383</v>
      </c>
      <c r="C297" s="3">
        <v>62587.979999999996</v>
      </c>
    </row>
    <row r="298" spans="1:3" x14ac:dyDescent="0.35">
      <c r="A298" t="s">
        <v>3</v>
      </c>
      <c r="B298" s="37">
        <v>45383</v>
      </c>
      <c r="C298" s="3">
        <v>-38385.980000000003</v>
      </c>
    </row>
    <row r="299" spans="1:3" x14ac:dyDescent="0.35">
      <c r="A299" t="s">
        <v>12</v>
      </c>
      <c r="B299" s="37">
        <v>45383</v>
      </c>
      <c r="C299" s="3">
        <v>-10870.46</v>
      </c>
    </row>
    <row r="300" spans="1:3" x14ac:dyDescent="0.35">
      <c r="A300" t="s">
        <v>5</v>
      </c>
      <c r="B300" s="37">
        <v>45383</v>
      </c>
      <c r="C300" s="3">
        <v>7708.2</v>
      </c>
    </row>
    <row r="301" spans="1:3" x14ac:dyDescent="0.35">
      <c r="A301" t="s">
        <v>9</v>
      </c>
      <c r="B301" s="37">
        <v>45383</v>
      </c>
      <c r="C301" s="3">
        <v>137009.07</v>
      </c>
    </row>
    <row r="302" spans="1:3" x14ac:dyDescent="0.35">
      <c r="A302" t="s">
        <v>4</v>
      </c>
      <c r="B302" s="37">
        <v>45383</v>
      </c>
      <c r="C302" s="3">
        <v>-5331.96</v>
      </c>
    </row>
    <row r="303" spans="1:3" x14ac:dyDescent="0.35">
      <c r="A303" t="s">
        <v>13</v>
      </c>
      <c r="B303" s="37">
        <v>45383</v>
      </c>
      <c r="C303" s="3">
        <v>43114.36</v>
      </c>
    </row>
    <row r="304" spans="1:3" x14ac:dyDescent="0.35">
      <c r="A304" t="s">
        <v>0</v>
      </c>
      <c r="B304" s="37">
        <v>45352</v>
      </c>
      <c r="C304" s="3">
        <v>-313453.27</v>
      </c>
    </row>
    <row r="305" spans="1:3" x14ac:dyDescent="0.35">
      <c r="A305" t="s">
        <v>1</v>
      </c>
      <c r="B305" s="37">
        <v>45352</v>
      </c>
      <c r="C305" s="3">
        <v>-4785.5200000000004</v>
      </c>
    </row>
    <row r="306" spans="1:3" x14ac:dyDescent="0.35">
      <c r="A306" t="s">
        <v>7</v>
      </c>
      <c r="B306" s="37">
        <v>45352</v>
      </c>
      <c r="C306" s="3">
        <v>7142.85</v>
      </c>
    </row>
    <row r="307" spans="1:3" x14ac:dyDescent="0.35">
      <c r="A307" t="s">
        <v>2</v>
      </c>
      <c r="B307" s="37">
        <v>45352</v>
      </c>
      <c r="C307" s="3">
        <v>-82348.7</v>
      </c>
    </row>
    <row r="308" spans="1:3" x14ac:dyDescent="0.35">
      <c r="A308" t="s">
        <v>8</v>
      </c>
      <c r="B308" s="37">
        <v>45352</v>
      </c>
      <c r="C308" s="3">
        <v>114276.9</v>
      </c>
    </row>
    <row r="309" spans="1:3" x14ac:dyDescent="0.35">
      <c r="A309" t="s">
        <v>3</v>
      </c>
      <c r="B309" s="37">
        <v>45352</v>
      </c>
      <c r="C309" s="3">
        <v>-33463.22</v>
      </c>
    </row>
    <row r="310" spans="1:3" x14ac:dyDescent="0.35">
      <c r="A310" t="s">
        <v>12</v>
      </c>
      <c r="B310" s="37">
        <v>45352</v>
      </c>
      <c r="C310" s="3">
        <v>-11360.86</v>
      </c>
    </row>
    <row r="311" spans="1:3" x14ac:dyDescent="0.35">
      <c r="A311" t="s">
        <v>9</v>
      </c>
      <c r="B311" s="37">
        <v>45352</v>
      </c>
      <c r="C311" s="3">
        <v>109648.17</v>
      </c>
    </row>
    <row r="312" spans="1:3" x14ac:dyDescent="0.35">
      <c r="A312" t="s">
        <v>4</v>
      </c>
      <c r="B312" s="37">
        <v>45352</v>
      </c>
      <c r="C312" s="3">
        <v>-3861.06</v>
      </c>
    </row>
    <row r="313" spans="1:3" x14ac:dyDescent="0.35">
      <c r="A313" t="s">
        <v>13</v>
      </c>
      <c r="B313" s="37">
        <v>45352</v>
      </c>
      <c r="C313" s="3">
        <v>41784.019999999997</v>
      </c>
    </row>
    <row r="314" spans="1:3" x14ac:dyDescent="0.35">
      <c r="A314" t="s">
        <v>0</v>
      </c>
      <c r="B314" s="37">
        <v>45323</v>
      </c>
      <c r="C314" s="3">
        <v>-290242.86</v>
      </c>
    </row>
    <row r="315" spans="1:3" x14ac:dyDescent="0.35">
      <c r="A315" t="s">
        <v>1</v>
      </c>
      <c r="B315" s="37">
        <v>45323</v>
      </c>
      <c r="C315" s="3">
        <v>-4476.7700000000004</v>
      </c>
    </row>
    <row r="316" spans="1:3" x14ac:dyDescent="0.35">
      <c r="A316" t="s">
        <v>7</v>
      </c>
      <c r="B316" s="37">
        <v>45323</v>
      </c>
      <c r="C316" s="3">
        <v>7488.15</v>
      </c>
    </row>
    <row r="317" spans="1:3" x14ac:dyDescent="0.35">
      <c r="A317" t="s">
        <v>2</v>
      </c>
      <c r="B317" s="37">
        <v>45323</v>
      </c>
      <c r="C317" s="3">
        <v>-74789.33</v>
      </c>
    </row>
    <row r="318" spans="1:3" x14ac:dyDescent="0.35">
      <c r="A318" t="s">
        <v>8</v>
      </c>
      <c r="B318" s="37">
        <v>45323</v>
      </c>
      <c r="C318" s="3">
        <v>70581.37</v>
      </c>
    </row>
    <row r="319" spans="1:3" x14ac:dyDescent="0.35">
      <c r="A319" t="s">
        <v>3</v>
      </c>
      <c r="B319" s="37">
        <v>45323</v>
      </c>
      <c r="C319" s="3">
        <v>-31066.25</v>
      </c>
    </row>
    <row r="320" spans="1:3" x14ac:dyDescent="0.35">
      <c r="A320" t="s">
        <v>12</v>
      </c>
      <c r="B320" s="37">
        <v>45323</v>
      </c>
      <c r="C320" s="3">
        <v>-10542.31</v>
      </c>
    </row>
    <row r="321" spans="1:3" x14ac:dyDescent="0.35">
      <c r="A321" t="s">
        <v>9</v>
      </c>
      <c r="B321" s="37">
        <v>45323</v>
      </c>
      <c r="C321" s="3">
        <v>134698.57</v>
      </c>
    </row>
    <row r="322" spans="1:3" x14ac:dyDescent="0.35">
      <c r="A322" t="s">
        <v>4</v>
      </c>
      <c r="B322" s="37">
        <v>45323</v>
      </c>
      <c r="C322" s="3">
        <v>-3611.95</v>
      </c>
    </row>
    <row r="323" spans="1:3" x14ac:dyDescent="0.35">
      <c r="A323" t="s">
        <v>13</v>
      </c>
      <c r="B323" s="37">
        <v>45323</v>
      </c>
      <c r="C323" s="3">
        <v>37812.83</v>
      </c>
    </row>
    <row r="324" spans="1:3" x14ac:dyDescent="0.35">
      <c r="A324" t="s">
        <v>0</v>
      </c>
      <c r="B324" s="37">
        <v>45292</v>
      </c>
      <c r="C324" s="3">
        <v>-307101.27</v>
      </c>
    </row>
    <row r="325" spans="1:3" x14ac:dyDescent="0.35">
      <c r="A325" t="s">
        <v>1</v>
      </c>
      <c r="B325" s="37">
        <v>45292</v>
      </c>
      <c r="C325" s="3">
        <v>-1609.29</v>
      </c>
    </row>
    <row r="326" spans="1:3" x14ac:dyDescent="0.35">
      <c r="A326" t="s">
        <v>7</v>
      </c>
      <c r="B326" s="37">
        <v>45292</v>
      </c>
      <c r="C326" s="3">
        <v>5617.87</v>
      </c>
    </row>
    <row r="327" spans="1:3" x14ac:dyDescent="0.35">
      <c r="A327" t="s">
        <v>2</v>
      </c>
      <c r="B327" s="37">
        <v>45292</v>
      </c>
      <c r="C327" s="3">
        <v>-79783.88</v>
      </c>
    </row>
    <row r="328" spans="1:3" x14ac:dyDescent="0.35">
      <c r="A328" t="s">
        <v>8</v>
      </c>
      <c r="B328" s="37">
        <v>45292</v>
      </c>
      <c r="C328" s="3">
        <v>41694.769999999997</v>
      </c>
    </row>
    <row r="329" spans="1:3" x14ac:dyDescent="0.35">
      <c r="A329" t="s">
        <v>3</v>
      </c>
      <c r="B329" s="37">
        <v>45292</v>
      </c>
      <c r="C329" s="3">
        <v>-32795.629999999997</v>
      </c>
    </row>
    <row r="330" spans="1:3" x14ac:dyDescent="0.35">
      <c r="A330" t="s">
        <v>12</v>
      </c>
      <c r="B330" s="37">
        <v>45292</v>
      </c>
      <c r="C330" s="3">
        <v>-11889.85</v>
      </c>
    </row>
    <row r="331" spans="1:3" x14ac:dyDescent="0.35">
      <c r="A331" t="s">
        <v>9</v>
      </c>
      <c r="B331" s="37">
        <v>45292</v>
      </c>
      <c r="C331" s="3">
        <v>115691.28</v>
      </c>
    </row>
    <row r="332" spans="1:3" x14ac:dyDescent="0.35">
      <c r="A332" t="s">
        <v>4</v>
      </c>
      <c r="B332" s="37">
        <v>45292</v>
      </c>
      <c r="C332" s="3">
        <v>-3861.06</v>
      </c>
    </row>
    <row r="333" spans="1:3" x14ac:dyDescent="0.35">
      <c r="A333" t="s">
        <v>13</v>
      </c>
      <c r="B333" s="37">
        <v>45292</v>
      </c>
      <c r="C333" s="3">
        <v>46642.94</v>
      </c>
    </row>
    <row r="334" spans="1:3" x14ac:dyDescent="0.35">
      <c r="A334" t="s">
        <v>0</v>
      </c>
      <c r="B334" s="37">
        <v>45261</v>
      </c>
      <c r="C334" s="3">
        <v>-310981.73</v>
      </c>
    </row>
    <row r="335" spans="1:3" x14ac:dyDescent="0.35">
      <c r="A335" t="s">
        <v>1</v>
      </c>
      <c r="B335" s="37">
        <v>45261</v>
      </c>
      <c r="C335" s="3">
        <v>-1609.29</v>
      </c>
    </row>
    <row r="336" spans="1:3" x14ac:dyDescent="0.35">
      <c r="A336" t="s">
        <v>7</v>
      </c>
      <c r="B336" s="37">
        <v>45261</v>
      </c>
      <c r="C336" s="3">
        <v>5275.25</v>
      </c>
    </row>
    <row r="337" spans="1:3" x14ac:dyDescent="0.35">
      <c r="A337" t="s">
        <v>2</v>
      </c>
      <c r="B337" s="37">
        <v>45261</v>
      </c>
      <c r="C337" s="3">
        <v>-75151.78</v>
      </c>
    </row>
    <row r="338" spans="1:3" x14ac:dyDescent="0.35">
      <c r="A338" t="s">
        <v>8</v>
      </c>
      <c r="B338" s="37">
        <v>45261</v>
      </c>
      <c r="C338" s="3">
        <v>62628.89</v>
      </c>
    </row>
    <row r="339" spans="1:3" x14ac:dyDescent="0.35">
      <c r="A339" t="s">
        <v>3</v>
      </c>
      <c r="B339" s="37">
        <v>45261</v>
      </c>
      <c r="C339" s="3">
        <v>-32227.38</v>
      </c>
    </row>
    <row r="340" spans="1:3" x14ac:dyDescent="0.35">
      <c r="A340" t="s">
        <v>12</v>
      </c>
      <c r="B340" s="37">
        <v>45261</v>
      </c>
      <c r="C340" s="3">
        <v>-8139.87</v>
      </c>
    </row>
    <row r="341" spans="1:3" x14ac:dyDescent="0.35">
      <c r="A341" t="s">
        <v>5</v>
      </c>
      <c r="B341" s="37">
        <v>45261</v>
      </c>
      <c r="C341" s="3">
        <v>-3500</v>
      </c>
    </row>
    <row r="342" spans="1:3" x14ac:dyDescent="0.35">
      <c r="A342" t="s">
        <v>9</v>
      </c>
      <c r="B342" s="37">
        <v>45261</v>
      </c>
      <c r="C342" s="3">
        <v>115835.25</v>
      </c>
    </row>
    <row r="343" spans="1:3" x14ac:dyDescent="0.35">
      <c r="A343" t="s">
        <v>4</v>
      </c>
      <c r="B343" s="37">
        <v>45261</v>
      </c>
      <c r="C343" s="3">
        <v>-3861.06</v>
      </c>
    </row>
    <row r="344" spans="1:3" x14ac:dyDescent="0.35">
      <c r="A344" t="s">
        <v>13</v>
      </c>
      <c r="B344" s="37">
        <v>45261</v>
      </c>
      <c r="C344" s="3">
        <v>54092.959999999999</v>
      </c>
    </row>
    <row r="345" spans="1:3" x14ac:dyDescent="0.35">
      <c r="A345" t="s">
        <v>0</v>
      </c>
      <c r="B345" s="37">
        <v>45231</v>
      </c>
      <c r="C345" s="3">
        <v>-300657.98</v>
      </c>
    </row>
    <row r="346" spans="1:3" x14ac:dyDescent="0.35">
      <c r="A346" t="s">
        <v>1</v>
      </c>
      <c r="B346" s="37">
        <v>45231</v>
      </c>
      <c r="C346" s="3">
        <v>-1557.38</v>
      </c>
    </row>
    <row r="347" spans="1:3" x14ac:dyDescent="0.35">
      <c r="A347" t="s">
        <v>7</v>
      </c>
      <c r="B347" s="37">
        <v>45231</v>
      </c>
      <c r="C347" s="3">
        <v>6103.61</v>
      </c>
    </row>
    <row r="348" spans="1:3" x14ac:dyDescent="0.35">
      <c r="A348" t="s">
        <v>2</v>
      </c>
      <c r="B348" s="37">
        <v>45231</v>
      </c>
      <c r="C348" s="3">
        <v>-69653.77</v>
      </c>
    </row>
    <row r="349" spans="1:3" x14ac:dyDescent="0.35">
      <c r="A349" t="s">
        <v>8</v>
      </c>
      <c r="B349" s="37">
        <v>45231</v>
      </c>
      <c r="C349" s="3">
        <v>35388.339999999997</v>
      </c>
    </row>
    <row r="350" spans="1:3" x14ac:dyDescent="0.35">
      <c r="A350" t="s">
        <v>3</v>
      </c>
      <c r="B350" s="37">
        <v>45231</v>
      </c>
      <c r="C350" s="3">
        <v>-31187.83</v>
      </c>
    </row>
    <row r="351" spans="1:3" x14ac:dyDescent="0.35">
      <c r="A351" t="s">
        <v>12</v>
      </c>
      <c r="B351" s="37">
        <v>45231</v>
      </c>
      <c r="C351" s="3">
        <v>-6018.71</v>
      </c>
    </row>
    <row r="352" spans="1:3" x14ac:dyDescent="0.35">
      <c r="A352" t="s">
        <v>5</v>
      </c>
      <c r="B352" s="37">
        <v>45231</v>
      </c>
      <c r="C352" s="3">
        <v>-1770.83</v>
      </c>
    </row>
    <row r="353" spans="1:3" x14ac:dyDescent="0.35">
      <c r="A353" t="s">
        <v>9</v>
      </c>
      <c r="B353" s="37">
        <v>45231</v>
      </c>
      <c r="C353" s="3">
        <v>103532.57</v>
      </c>
    </row>
    <row r="354" spans="1:3" x14ac:dyDescent="0.35">
      <c r="A354" t="s">
        <v>4</v>
      </c>
      <c r="B354" s="37">
        <v>45231</v>
      </c>
      <c r="C354" s="3">
        <v>-1146.6500000000001</v>
      </c>
    </row>
    <row r="355" spans="1:3" x14ac:dyDescent="0.35">
      <c r="A355" t="s">
        <v>13</v>
      </c>
      <c r="B355" s="37">
        <v>45231</v>
      </c>
      <c r="C355" s="3">
        <v>58847.98</v>
      </c>
    </row>
    <row r="356" spans="1:3" x14ac:dyDescent="0.35">
      <c r="A356" t="s">
        <v>0</v>
      </c>
      <c r="B356" s="37">
        <v>45200</v>
      </c>
      <c r="C356" s="3">
        <v>-305591.18</v>
      </c>
    </row>
    <row r="357" spans="1:3" x14ac:dyDescent="0.35">
      <c r="A357" t="s">
        <v>1</v>
      </c>
      <c r="B357" s="37">
        <v>45200</v>
      </c>
      <c r="C357" s="3">
        <v>-1609.29</v>
      </c>
    </row>
    <row r="358" spans="1:3" x14ac:dyDescent="0.35">
      <c r="A358" t="s">
        <v>7</v>
      </c>
      <c r="B358" s="37">
        <v>45200</v>
      </c>
      <c r="C358" s="3">
        <v>9276.64</v>
      </c>
    </row>
    <row r="359" spans="1:3" x14ac:dyDescent="0.35">
      <c r="A359" t="s">
        <v>2</v>
      </c>
      <c r="B359" s="37">
        <v>45200</v>
      </c>
      <c r="C359" s="3">
        <v>-71975.539999999994</v>
      </c>
    </row>
    <row r="360" spans="1:3" x14ac:dyDescent="0.35">
      <c r="A360" t="s">
        <v>8</v>
      </c>
      <c r="B360" s="37">
        <v>45200</v>
      </c>
      <c r="C360" s="3">
        <v>34839.19</v>
      </c>
    </row>
    <row r="361" spans="1:3" x14ac:dyDescent="0.35">
      <c r="A361" t="s">
        <v>3</v>
      </c>
      <c r="B361" s="37">
        <v>45200</v>
      </c>
      <c r="C361" s="3">
        <v>-23390.47</v>
      </c>
    </row>
    <row r="362" spans="1:3" x14ac:dyDescent="0.35">
      <c r="A362" t="s">
        <v>12</v>
      </c>
      <c r="B362" s="37">
        <v>45200</v>
      </c>
      <c r="C362" s="3">
        <v>-7696.34</v>
      </c>
    </row>
    <row r="363" spans="1:3" x14ac:dyDescent="0.35">
      <c r="A363" t="s">
        <v>5</v>
      </c>
      <c r="B363" s="37">
        <v>45200</v>
      </c>
      <c r="C363" s="3">
        <v>123.29</v>
      </c>
    </row>
    <row r="364" spans="1:3" x14ac:dyDescent="0.35">
      <c r="A364" t="s">
        <v>9</v>
      </c>
      <c r="B364" s="37">
        <v>45200</v>
      </c>
      <c r="C364" s="3">
        <v>97729.06</v>
      </c>
    </row>
    <row r="365" spans="1:3" x14ac:dyDescent="0.35">
      <c r="A365" t="s">
        <v>4</v>
      </c>
      <c r="B365" s="37">
        <v>45200</v>
      </c>
      <c r="C365" s="3">
        <v>-1184.8699999999999</v>
      </c>
    </row>
    <row r="366" spans="1:3" x14ac:dyDescent="0.35">
      <c r="A366" t="s">
        <v>13</v>
      </c>
      <c r="B366" s="37">
        <v>45200</v>
      </c>
      <c r="C366" s="3">
        <v>55103.58</v>
      </c>
    </row>
    <row r="367" spans="1:3" x14ac:dyDescent="0.35">
      <c r="A367" t="s">
        <v>0</v>
      </c>
      <c r="B367" s="37">
        <v>45170</v>
      </c>
      <c r="C367" s="3">
        <v>-297410.76</v>
      </c>
    </row>
    <row r="368" spans="1:3" x14ac:dyDescent="0.35">
      <c r="A368" t="s">
        <v>1</v>
      </c>
      <c r="B368" s="37">
        <v>45170</v>
      </c>
      <c r="C368" s="3">
        <v>-1557.38</v>
      </c>
    </row>
    <row r="369" spans="1:3" x14ac:dyDescent="0.35">
      <c r="A369" t="s">
        <v>7</v>
      </c>
      <c r="B369" s="37">
        <v>45170</v>
      </c>
      <c r="C369" s="3">
        <v>7319.91</v>
      </c>
    </row>
    <row r="370" spans="1:3" x14ac:dyDescent="0.35">
      <c r="A370" t="s">
        <v>2</v>
      </c>
      <c r="B370" s="37">
        <v>45170</v>
      </c>
      <c r="C370" s="3">
        <v>-69478.960000000006</v>
      </c>
    </row>
    <row r="371" spans="1:3" x14ac:dyDescent="0.35">
      <c r="A371" t="s">
        <v>8</v>
      </c>
      <c r="B371" s="37">
        <v>45170</v>
      </c>
      <c r="C371" s="3">
        <v>49426.34</v>
      </c>
    </row>
    <row r="372" spans="1:3" x14ac:dyDescent="0.35">
      <c r="A372" t="s">
        <v>3</v>
      </c>
      <c r="B372" s="37">
        <v>45170</v>
      </c>
      <c r="C372" s="3">
        <v>-12845.95</v>
      </c>
    </row>
    <row r="373" spans="1:3" x14ac:dyDescent="0.35">
      <c r="A373" t="s">
        <v>12</v>
      </c>
      <c r="B373" s="37">
        <v>45170</v>
      </c>
      <c r="C373" s="3">
        <v>-10493.19</v>
      </c>
    </row>
    <row r="374" spans="1:3" x14ac:dyDescent="0.35">
      <c r="A374" t="s">
        <v>9</v>
      </c>
      <c r="B374" s="37">
        <v>45170</v>
      </c>
      <c r="C374" s="3">
        <v>95162.36</v>
      </c>
    </row>
    <row r="375" spans="1:3" x14ac:dyDescent="0.35">
      <c r="A375" t="s">
        <v>4</v>
      </c>
      <c r="B375" s="37">
        <v>45170</v>
      </c>
      <c r="C375" s="3">
        <v>-1146.6500000000001</v>
      </c>
    </row>
    <row r="376" spans="1:3" x14ac:dyDescent="0.35">
      <c r="A376" t="s">
        <v>13</v>
      </c>
      <c r="B376" s="37">
        <v>45170</v>
      </c>
      <c r="C376" s="3">
        <v>37496.42</v>
      </c>
    </row>
    <row r="377" spans="1:3" x14ac:dyDescent="0.35">
      <c r="A377" t="s">
        <v>0</v>
      </c>
      <c r="B377" s="37">
        <v>45139</v>
      </c>
      <c r="C377" s="3">
        <v>-304733.90000000002</v>
      </c>
    </row>
    <row r="378" spans="1:3" x14ac:dyDescent="0.35">
      <c r="A378" t="s">
        <v>1</v>
      </c>
      <c r="B378" s="37">
        <v>45139</v>
      </c>
      <c r="C378" s="3">
        <v>-1528.76</v>
      </c>
    </row>
    <row r="379" spans="1:3" x14ac:dyDescent="0.35">
      <c r="A379" t="s">
        <v>7</v>
      </c>
      <c r="B379" s="37">
        <v>45139</v>
      </c>
      <c r="C379" s="3">
        <v>9676.9699999999993</v>
      </c>
    </row>
    <row r="380" spans="1:3" x14ac:dyDescent="0.35">
      <c r="A380" t="s">
        <v>2</v>
      </c>
      <c r="B380" s="37">
        <v>45139</v>
      </c>
      <c r="C380" s="3">
        <v>-71573.98</v>
      </c>
    </row>
    <row r="381" spans="1:3" x14ac:dyDescent="0.35">
      <c r="A381" t="s">
        <v>8</v>
      </c>
      <c r="B381" s="37">
        <v>45139</v>
      </c>
      <c r="C381" s="3">
        <v>57245.85</v>
      </c>
    </row>
    <row r="382" spans="1:3" x14ac:dyDescent="0.35">
      <c r="A382" t="s">
        <v>3</v>
      </c>
      <c r="B382" s="37">
        <v>45139</v>
      </c>
      <c r="C382" s="3">
        <v>-6232.23</v>
      </c>
    </row>
    <row r="383" spans="1:3" x14ac:dyDescent="0.35">
      <c r="A383" t="s">
        <v>12</v>
      </c>
      <c r="B383" s="37">
        <v>45139</v>
      </c>
      <c r="C383" s="3">
        <v>-7657.39</v>
      </c>
    </row>
    <row r="384" spans="1:3" x14ac:dyDescent="0.35">
      <c r="A384" t="s">
        <v>9</v>
      </c>
      <c r="B384" s="37">
        <v>45139</v>
      </c>
      <c r="C384" s="3">
        <v>82695.929999999993</v>
      </c>
    </row>
    <row r="385" spans="1:3" x14ac:dyDescent="0.35">
      <c r="A385" t="s">
        <v>4</v>
      </c>
      <c r="B385" s="37">
        <v>45139</v>
      </c>
      <c r="C385" s="3">
        <v>-2017.19</v>
      </c>
    </row>
    <row r="386" spans="1:3" x14ac:dyDescent="0.35">
      <c r="A386" t="s">
        <v>13</v>
      </c>
      <c r="B386" s="37">
        <v>45139</v>
      </c>
      <c r="C386" s="3">
        <v>45665.95</v>
      </c>
    </row>
    <row r="387" spans="1:3" x14ac:dyDescent="0.35">
      <c r="A387" t="s">
        <v>0</v>
      </c>
      <c r="B387" s="37">
        <v>45108</v>
      </c>
      <c r="C387" s="3">
        <v>-294459.8</v>
      </c>
    </row>
    <row r="388" spans="1:3" x14ac:dyDescent="0.35">
      <c r="A388" t="s">
        <v>1</v>
      </c>
      <c r="B388" s="37">
        <v>45108</v>
      </c>
      <c r="C388" s="3">
        <v>-1528.77</v>
      </c>
    </row>
    <row r="389" spans="1:3" x14ac:dyDescent="0.35">
      <c r="A389" t="s">
        <v>7</v>
      </c>
      <c r="B389" s="37">
        <v>45108</v>
      </c>
      <c r="C389" s="3">
        <v>7019.09</v>
      </c>
    </row>
    <row r="390" spans="1:3" x14ac:dyDescent="0.35">
      <c r="A390" t="s">
        <v>2</v>
      </c>
      <c r="B390" s="37">
        <v>45108</v>
      </c>
      <c r="C390" s="3">
        <v>-66092.95</v>
      </c>
    </row>
    <row r="391" spans="1:3" x14ac:dyDescent="0.35">
      <c r="A391" t="s">
        <v>8</v>
      </c>
      <c r="B391" s="37">
        <v>45108</v>
      </c>
      <c r="C391" s="3">
        <v>47186.61</v>
      </c>
    </row>
    <row r="392" spans="1:3" x14ac:dyDescent="0.35">
      <c r="A392" t="s">
        <v>3</v>
      </c>
      <c r="B392" s="37">
        <v>45108</v>
      </c>
      <c r="C392" s="3">
        <v>-7008.05</v>
      </c>
    </row>
    <row r="393" spans="1:3" x14ac:dyDescent="0.35">
      <c r="A393" t="s">
        <v>12</v>
      </c>
      <c r="B393" s="37">
        <v>45108</v>
      </c>
      <c r="C393" s="3">
        <v>-7041.15</v>
      </c>
    </row>
    <row r="394" spans="1:3" x14ac:dyDescent="0.35">
      <c r="A394" t="s">
        <v>9</v>
      </c>
      <c r="B394" s="37">
        <v>45108</v>
      </c>
      <c r="C394" s="3">
        <v>96817.61</v>
      </c>
    </row>
    <row r="395" spans="1:3" x14ac:dyDescent="0.35">
      <c r="A395" t="s">
        <v>4</v>
      </c>
      <c r="B395" s="37">
        <v>45108</v>
      </c>
      <c r="C395" s="3">
        <v>-2017.2</v>
      </c>
    </row>
    <row r="396" spans="1:3" x14ac:dyDescent="0.35">
      <c r="A396" t="s">
        <v>13</v>
      </c>
      <c r="B396" s="37">
        <v>45108</v>
      </c>
      <c r="C396" s="3">
        <v>41580.879999999997</v>
      </c>
    </row>
    <row r="397" spans="1:3" x14ac:dyDescent="0.35">
      <c r="A397" t="s">
        <v>0</v>
      </c>
      <c r="B397" s="37">
        <v>45078</v>
      </c>
      <c r="C397" s="3">
        <v>-281341.13</v>
      </c>
    </row>
    <row r="398" spans="1:3" x14ac:dyDescent="0.35">
      <c r="A398" t="s">
        <v>1</v>
      </c>
      <c r="B398" s="37">
        <v>45078</v>
      </c>
      <c r="C398" s="3">
        <v>-1479.45</v>
      </c>
    </row>
    <row r="399" spans="1:3" x14ac:dyDescent="0.35">
      <c r="A399" t="s">
        <v>7</v>
      </c>
      <c r="B399" s="37">
        <v>45078</v>
      </c>
      <c r="C399" s="3">
        <v>4938.7</v>
      </c>
    </row>
    <row r="400" spans="1:3" x14ac:dyDescent="0.35">
      <c r="A400" t="s">
        <v>2</v>
      </c>
      <c r="B400" s="37">
        <v>45078</v>
      </c>
      <c r="C400" s="3">
        <v>-69475.77</v>
      </c>
    </row>
    <row r="401" spans="1:3" x14ac:dyDescent="0.35">
      <c r="A401" t="s">
        <v>8</v>
      </c>
      <c r="B401" s="37">
        <v>45078</v>
      </c>
      <c r="C401" s="3">
        <v>27704.7</v>
      </c>
    </row>
    <row r="402" spans="1:3" x14ac:dyDescent="0.35">
      <c r="A402" t="s">
        <v>3</v>
      </c>
      <c r="B402" s="37">
        <v>45078</v>
      </c>
      <c r="C402" s="3">
        <v>-3937.55</v>
      </c>
    </row>
    <row r="403" spans="1:3" x14ac:dyDescent="0.35">
      <c r="A403" t="s">
        <v>12</v>
      </c>
      <c r="B403" s="37">
        <v>45078</v>
      </c>
      <c r="C403" s="3">
        <v>-6980.93</v>
      </c>
    </row>
    <row r="404" spans="1:3" x14ac:dyDescent="0.35">
      <c r="A404" t="s">
        <v>9</v>
      </c>
      <c r="B404" s="37">
        <v>45078</v>
      </c>
      <c r="C404" s="3">
        <v>191188.79</v>
      </c>
    </row>
    <row r="405" spans="1:3" x14ac:dyDescent="0.35">
      <c r="A405" t="s">
        <v>4</v>
      </c>
      <c r="B405" s="37">
        <v>45078</v>
      </c>
      <c r="C405" s="3">
        <v>-1952.13</v>
      </c>
    </row>
    <row r="406" spans="1:3" x14ac:dyDescent="0.35">
      <c r="A406" t="s">
        <v>13</v>
      </c>
      <c r="B406" s="37">
        <v>45078</v>
      </c>
      <c r="C406" s="3">
        <v>25065.99</v>
      </c>
    </row>
    <row r="407" spans="1:3" x14ac:dyDescent="0.35">
      <c r="A407" t="s">
        <v>0</v>
      </c>
      <c r="B407" s="37">
        <v>45047</v>
      </c>
      <c r="C407" s="3">
        <v>-284521.21999999997</v>
      </c>
    </row>
    <row r="408" spans="1:3" x14ac:dyDescent="0.35">
      <c r="A408" t="s">
        <v>1</v>
      </c>
      <c r="B408" s="37">
        <v>45047</v>
      </c>
      <c r="C408" s="3">
        <v>-1528.77</v>
      </c>
    </row>
    <row r="409" spans="1:3" x14ac:dyDescent="0.35">
      <c r="A409" t="s">
        <v>7</v>
      </c>
      <c r="B409" s="37">
        <v>45047</v>
      </c>
      <c r="C409" s="3">
        <v>5654.3</v>
      </c>
    </row>
    <row r="410" spans="1:3" x14ac:dyDescent="0.35">
      <c r="A410" t="s">
        <v>2</v>
      </c>
      <c r="B410" s="37">
        <v>45047</v>
      </c>
      <c r="C410" s="3">
        <v>-64716.2</v>
      </c>
    </row>
    <row r="411" spans="1:3" x14ac:dyDescent="0.35">
      <c r="A411" t="s">
        <v>8</v>
      </c>
      <c r="B411" s="37">
        <v>45047</v>
      </c>
      <c r="C411" s="3">
        <v>36308.99</v>
      </c>
    </row>
    <row r="412" spans="1:3" x14ac:dyDescent="0.35">
      <c r="A412" t="s">
        <v>3</v>
      </c>
      <c r="B412" s="37">
        <v>45047</v>
      </c>
      <c r="C412" s="3">
        <v>-3878.29</v>
      </c>
    </row>
    <row r="413" spans="1:3" x14ac:dyDescent="0.35">
      <c r="A413" t="s">
        <v>12</v>
      </c>
      <c r="B413" s="37">
        <v>45047</v>
      </c>
      <c r="C413" s="3">
        <v>-6242.18</v>
      </c>
    </row>
    <row r="414" spans="1:3" x14ac:dyDescent="0.35">
      <c r="A414" t="s">
        <v>5</v>
      </c>
      <c r="B414" s="37">
        <v>45047</v>
      </c>
      <c r="C414" s="3">
        <v>-40291.67</v>
      </c>
    </row>
    <row r="415" spans="1:3" x14ac:dyDescent="0.35">
      <c r="A415" t="s">
        <v>9</v>
      </c>
      <c r="B415" s="37">
        <v>45047</v>
      </c>
      <c r="C415" s="3">
        <v>100348.13</v>
      </c>
    </row>
    <row r="416" spans="1:3" x14ac:dyDescent="0.35">
      <c r="A416" t="s">
        <v>4</v>
      </c>
      <c r="B416" s="37">
        <v>45047</v>
      </c>
      <c r="C416" s="3">
        <v>-2017.2</v>
      </c>
    </row>
    <row r="417" spans="1:3" x14ac:dyDescent="0.35">
      <c r="A417" t="s">
        <v>13</v>
      </c>
      <c r="B417" s="37">
        <v>45047</v>
      </c>
      <c r="C417" s="3">
        <v>55860.56</v>
      </c>
    </row>
    <row r="418" spans="1:3" x14ac:dyDescent="0.35">
      <c r="A418" t="s">
        <v>0</v>
      </c>
      <c r="B418" s="37">
        <v>45017</v>
      </c>
      <c r="C418" s="3">
        <v>-271187.49</v>
      </c>
    </row>
    <row r="419" spans="1:3" x14ac:dyDescent="0.35">
      <c r="A419" t="s">
        <v>1</v>
      </c>
      <c r="B419" s="37">
        <v>45017</v>
      </c>
      <c r="C419" s="3">
        <v>-1479.45</v>
      </c>
    </row>
    <row r="420" spans="1:3" x14ac:dyDescent="0.35">
      <c r="A420" t="s">
        <v>7</v>
      </c>
      <c r="B420" s="37">
        <v>45017</v>
      </c>
      <c r="C420" s="3">
        <v>5047.62</v>
      </c>
    </row>
    <row r="421" spans="1:3" x14ac:dyDescent="0.35">
      <c r="A421" t="s">
        <v>2</v>
      </c>
      <c r="B421" s="37">
        <v>45017</v>
      </c>
      <c r="C421" s="3">
        <v>-62216.51</v>
      </c>
    </row>
    <row r="422" spans="1:3" x14ac:dyDescent="0.35">
      <c r="A422" t="s">
        <v>8</v>
      </c>
      <c r="B422" s="37">
        <v>45017</v>
      </c>
      <c r="C422" s="3">
        <v>27318.69</v>
      </c>
    </row>
    <row r="423" spans="1:3" x14ac:dyDescent="0.35">
      <c r="A423" t="s">
        <v>3</v>
      </c>
      <c r="B423" s="37">
        <v>45017</v>
      </c>
      <c r="C423" s="3">
        <v>-6196.56</v>
      </c>
    </row>
    <row r="424" spans="1:3" x14ac:dyDescent="0.35">
      <c r="A424" t="s">
        <v>12</v>
      </c>
      <c r="B424" s="37">
        <v>45017</v>
      </c>
      <c r="C424" s="3">
        <v>-5777.02</v>
      </c>
    </row>
    <row r="425" spans="1:3" x14ac:dyDescent="0.35">
      <c r="A425" t="s">
        <v>5</v>
      </c>
      <c r="B425" s="37">
        <v>45017</v>
      </c>
      <c r="C425" s="3">
        <v>-12488.75</v>
      </c>
    </row>
    <row r="426" spans="1:3" x14ac:dyDescent="0.35">
      <c r="A426" t="s">
        <v>9</v>
      </c>
      <c r="B426" s="37">
        <v>45017</v>
      </c>
      <c r="C426" s="3">
        <v>93322.06</v>
      </c>
    </row>
    <row r="427" spans="1:3" x14ac:dyDescent="0.35">
      <c r="A427" t="s">
        <v>4</v>
      </c>
      <c r="B427" s="37">
        <v>45017</v>
      </c>
      <c r="C427" s="3">
        <v>-1952.13</v>
      </c>
    </row>
    <row r="428" spans="1:3" x14ac:dyDescent="0.35">
      <c r="A428" t="s">
        <v>13</v>
      </c>
      <c r="B428" s="37">
        <v>45017</v>
      </c>
      <c r="C428" s="3">
        <v>39876.47</v>
      </c>
    </row>
    <row r="429" spans="1:3" x14ac:dyDescent="0.35">
      <c r="A429" t="s">
        <v>0</v>
      </c>
      <c r="B429" s="37">
        <v>44986</v>
      </c>
      <c r="C429" s="3">
        <v>-269843.96000000002</v>
      </c>
    </row>
    <row r="430" spans="1:3" x14ac:dyDescent="0.35">
      <c r="A430" t="s">
        <v>1</v>
      </c>
      <c r="B430" s="37">
        <v>44986</v>
      </c>
      <c r="C430" s="3">
        <v>-1528.77</v>
      </c>
    </row>
    <row r="431" spans="1:3" x14ac:dyDescent="0.35">
      <c r="A431" t="s">
        <v>7</v>
      </c>
      <c r="B431" s="37">
        <v>44986</v>
      </c>
      <c r="C431" s="3">
        <v>5080.2299999999996</v>
      </c>
    </row>
    <row r="432" spans="1:3" x14ac:dyDescent="0.35">
      <c r="A432" t="s">
        <v>2</v>
      </c>
      <c r="B432" s="37">
        <v>44986</v>
      </c>
      <c r="C432" s="3">
        <v>-53848.02</v>
      </c>
    </row>
    <row r="433" spans="1:3" x14ac:dyDescent="0.35">
      <c r="A433" t="s">
        <v>8</v>
      </c>
      <c r="B433" s="37">
        <v>44986</v>
      </c>
      <c r="C433" s="3">
        <v>59857.48</v>
      </c>
    </row>
    <row r="434" spans="1:3" x14ac:dyDescent="0.35">
      <c r="A434" t="s">
        <v>3</v>
      </c>
      <c r="B434" s="37">
        <v>44986</v>
      </c>
      <c r="C434" s="3">
        <v>-4103.29</v>
      </c>
    </row>
    <row r="435" spans="1:3" x14ac:dyDescent="0.35">
      <c r="A435" t="s">
        <v>12</v>
      </c>
      <c r="B435" s="37">
        <v>44986</v>
      </c>
      <c r="C435" s="3">
        <v>-4911.08</v>
      </c>
    </row>
    <row r="436" spans="1:3" x14ac:dyDescent="0.35">
      <c r="A436" t="s">
        <v>9</v>
      </c>
      <c r="B436" s="37">
        <v>44986</v>
      </c>
      <c r="C436" s="3">
        <v>113960.41</v>
      </c>
    </row>
    <row r="437" spans="1:3" x14ac:dyDescent="0.35">
      <c r="A437" t="s">
        <v>4</v>
      </c>
      <c r="B437" s="37">
        <v>44986</v>
      </c>
      <c r="C437" s="3">
        <v>-832.33</v>
      </c>
    </row>
    <row r="438" spans="1:3" x14ac:dyDescent="0.35">
      <c r="A438" t="s">
        <v>13</v>
      </c>
      <c r="B438" s="37">
        <v>44986</v>
      </c>
      <c r="C438" s="3">
        <v>48106.74</v>
      </c>
    </row>
    <row r="439" spans="1:3" x14ac:dyDescent="0.35">
      <c r="A439" t="s">
        <v>0</v>
      </c>
      <c r="B439" s="37">
        <v>44958</v>
      </c>
      <c r="C439" s="3">
        <v>-248239.08</v>
      </c>
    </row>
    <row r="440" spans="1:3" x14ac:dyDescent="0.35">
      <c r="A440" t="s">
        <v>1</v>
      </c>
      <c r="B440" s="37">
        <v>44958</v>
      </c>
      <c r="C440" s="3">
        <v>-1380.82</v>
      </c>
    </row>
    <row r="441" spans="1:3" x14ac:dyDescent="0.35">
      <c r="A441" t="s">
        <v>7</v>
      </c>
      <c r="B441" s="37">
        <v>44958</v>
      </c>
      <c r="C441" s="3">
        <v>5371.92</v>
      </c>
    </row>
    <row r="442" spans="1:3" x14ac:dyDescent="0.35">
      <c r="A442" t="s">
        <v>2</v>
      </c>
      <c r="B442" s="37">
        <v>44958</v>
      </c>
      <c r="C442" s="3">
        <v>-48112.1</v>
      </c>
    </row>
    <row r="443" spans="1:3" x14ac:dyDescent="0.35">
      <c r="A443" t="s">
        <v>8</v>
      </c>
      <c r="B443" s="37">
        <v>44958</v>
      </c>
      <c r="C443" s="3">
        <v>7718.34</v>
      </c>
    </row>
    <row r="444" spans="1:3" x14ac:dyDescent="0.35">
      <c r="A444" t="s">
        <v>3</v>
      </c>
      <c r="B444" s="37">
        <v>44958</v>
      </c>
      <c r="C444" s="3">
        <v>-3706.16</v>
      </c>
    </row>
    <row r="445" spans="1:3" x14ac:dyDescent="0.35">
      <c r="A445" t="s">
        <v>12</v>
      </c>
      <c r="B445" s="37">
        <v>44958</v>
      </c>
      <c r="C445" s="3">
        <v>-3716.55</v>
      </c>
    </row>
    <row r="446" spans="1:3" x14ac:dyDescent="0.35">
      <c r="A446" t="s">
        <v>9</v>
      </c>
      <c r="B446" s="37">
        <v>44958</v>
      </c>
      <c r="C446" s="3">
        <v>96640.15</v>
      </c>
    </row>
    <row r="447" spans="1:3" x14ac:dyDescent="0.35">
      <c r="A447" t="s">
        <v>4</v>
      </c>
      <c r="B447" s="37">
        <v>44958</v>
      </c>
      <c r="C447" s="3">
        <v>-751.78</v>
      </c>
    </row>
    <row r="448" spans="1:3" x14ac:dyDescent="0.35">
      <c r="A448" t="s">
        <v>13</v>
      </c>
      <c r="B448" s="37">
        <v>44958</v>
      </c>
      <c r="C448" s="3">
        <v>37071.24</v>
      </c>
    </row>
    <row r="449" spans="1:3" x14ac:dyDescent="0.35">
      <c r="A449" t="s">
        <v>0</v>
      </c>
      <c r="B449" s="37">
        <v>44927</v>
      </c>
      <c r="C449" s="3">
        <v>-277258.01</v>
      </c>
    </row>
    <row r="450" spans="1:3" x14ac:dyDescent="0.35">
      <c r="A450" t="s">
        <v>1</v>
      </c>
      <c r="B450" s="37">
        <v>44927</v>
      </c>
      <c r="C450" s="3">
        <v>-1528.77</v>
      </c>
    </row>
    <row r="451" spans="1:3" x14ac:dyDescent="0.35">
      <c r="A451" t="s">
        <v>7</v>
      </c>
      <c r="B451" s="37">
        <v>44927</v>
      </c>
      <c r="C451" s="3">
        <v>3955.2</v>
      </c>
    </row>
    <row r="452" spans="1:3" x14ac:dyDescent="0.35">
      <c r="A452" t="s">
        <v>2</v>
      </c>
      <c r="B452" s="37">
        <v>44927</v>
      </c>
      <c r="C452" s="3">
        <v>-49253.49</v>
      </c>
    </row>
    <row r="453" spans="1:3" x14ac:dyDescent="0.35">
      <c r="A453" t="s">
        <v>8</v>
      </c>
      <c r="B453" s="37">
        <v>44927</v>
      </c>
      <c r="C453" s="3">
        <v>32374.1</v>
      </c>
    </row>
    <row r="454" spans="1:3" x14ac:dyDescent="0.35">
      <c r="A454" t="s">
        <v>3</v>
      </c>
      <c r="B454" s="37">
        <v>44927</v>
      </c>
      <c r="C454" s="3">
        <v>-5678.2</v>
      </c>
    </row>
    <row r="455" spans="1:3" x14ac:dyDescent="0.35">
      <c r="A455" t="s">
        <v>12</v>
      </c>
      <c r="B455" s="37">
        <v>44927</v>
      </c>
      <c r="C455" s="3">
        <v>-4893.58</v>
      </c>
    </row>
    <row r="456" spans="1:3" x14ac:dyDescent="0.35">
      <c r="A456" t="s">
        <v>9</v>
      </c>
      <c r="B456" s="37">
        <v>44927</v>
      </c>
      <c r="C456" s="3">
        <v>111281.74</v>
      </c>
    </row>
    <row r="457" spans="1:3" x14ac:dyDescent="0.35">
      <c r="A457" t="s">
        <v>4</v>
      </c>
      <c r="B457" s="37">
        <v>44927</v>
      </c>
      <c r="C457" s="3">
        <v>-832.33</v>
      </c>
    </row>
    <row r="458" spans="1:3" x14ac:dyDescent="0.35">
      <c r="A458" t="s">
        <v>13</v>
      </c>
      <c r="B458" s="37">
        <v>44927</v>
      </c>
      <c r="C458" s="3">
        <v>56382.34</v>
      </c>
    </row>
    <row r="459" spans="1:3" x14ac:dyDescent="0.35">
      <c r="A459" t="s">
        <v>0</v>
      </c>
      <c r="B459" s="37">
        <v>44896</v>
      </c>
      <c r="C459" s="3">
        <v>-276889.25</v>
      </c>
    </row>
    <row r="460" spans="1:3" x14ac:dyDescent="0.35">
      <c r="A460" t="s">
        <v>1</v>
      </c>
      <c r="B460" s="37">
        <v>44896</v>
      </c>
      <c r="C460" s="3">
        <v>-1528.77</v>
      </c>
    </row>
    <row r="461" spans="1:3" x14ac:dyDescent="0.35">
      <c r="A461" t="s">
        <v>7</v>
      </c>
      <c r="B461" s="37">
        <v>44896</v>
      </c>
      <c r="C461" s="3">
        <v>4500.32</v>
      </c>
    </row>
    <row r="462" spans="1:3" x14ac:dyDescent="0.35">
      <c r="A462" t="s">
        <v>2</v>
      </c>
      <c r="B462" s="37">
        <v>44896</v>
      </c>
      <c r="C462" s="3">
        <v>-47696.38</v>
      </c>
    </row>
    <row r="463" spans="1:3" x14ac:dyDescent="0.35">
      <c r="A463" t="s">
        <v>8</v>
      </c>
      <c r="B463" s="37">
        <v>44896</v>
      </c>
      <c r="C463" s="3">
        <v>44577.19</v>
      </c>
    </row>
    <row r="464" spans="1:3" x14ac:dyDescent="0.35">
      <c r="A464" t="s">
        <v>3</v>
      </c>
      <c r="B464" s="37">
        <v>44896</v>
      </c>
      <c r="C464" s="3">
        <v>-1106.27</v>
      </c>
    </row>
    <row r="465" spans="1:3" x14ac:dyDescent="0.35">
      <c r="A465" t="s">
        <v>12</v>
      </c>
      <c r="B465" s="37">
        <v>44896</v>
      </c>
      <c r="C465" s="3">
        <v>-4340.18</v>
      </c>
    </row>
    <row r="466" spans="1:3" x14ac:dyDescent="0.35">
      <c r="A466" t="s">
        <v>9</v>
      </c>
      <c r="B466" s="37">
        <v>44896</v>
      </c>
      <c r="C466" s="3">
        <v>95130.7</v>
      </c>
    </row>
    <row r="467" spans="1:3" x14ac:dyDescent="0.35">
      <c r="A467" t="s">
        <v>4</v>
      </c>
      <c r="B467" s="37">
        <v>44896</v>
      </c>
      <c r="C467" s="3">
        <v>-832.33</v>
      </c>
    </row>
    <row r="468" spans="1:3" x14ac:dyDescent="0.35">
      <c r="A468" t="s">
        <v>13</v>
      </c>
      <c r="B468" s="37">
        <v>44896</v>
      </c>
      <c r="C468" s="3">
        <v>54887.83</v>
      </c>
    </row>
    <row r="469" spans="1:3" x14ac:dyDescent="0.35">
      <c r="A469" t="s">
        <v>0</v>
      </c>
      <c r="B469" s="37">
        <v>44866</v>
      </c>
      <c r="C469" s="3">
        <v>-269216.39</v>
      </c>
    </row>
    <row r="470" spans="1:3" x14ac:dyDescent="0.35">
      <c r="A470" t="s">
        <v>1</v>
      </c>
      <c r="B470" s="37">
        <v>44866</v>
      </c>
      <c r="C470" s="3">
        <v>-1479.45</v>
      </c>
    </row>
    <row r="471" spans="1:3" x14ac:dyDescent="0.35">
      <c r="A471" t="s">
        <v>7</v>
      </c>
      <c r="B471" s="37">
        <v>44866</v>
      </c>
      <c r="C471" s="3">
        <v>4283.55</v>
      </c>
    </row>
    <row r="472" spans="1:3" x14ac:dyDescent="0.35">
      <c r="A472" t="s">
        <v>2</v>
      </c>
      <c r="B472" s="37">
        <v>44866</v>
      </c>
      <c r="C472" s="3">
        <v>-49243.87</v>
      </c>
    </row>
    <row r="473" spans="1:3" x14ac:dyDescent="0.35">
      <c r="A473" t="s">
        <v>8</v>
      </c>
      <c r="B473" s="37">
        <v>44866</v>
      </c>
      <c r="C473" s="3">
        <v>42222.47</v>
      </c>
    </row>
    <row r="474" spans="1:3" x14ac:dyDescent="0.35">
      <c r="A474" t="s">
        <v>3</v>
      </c>
      <c r="B474" s="37">
        <v>44866</v>
      </c>
      <c r="C474" s="3">
        <v>-1070.58</v>
      </c>
    </row>
    <row r="475" spans="1:3" x14ac:dyDescent="0.35">
      <c r="A475" t="s">
        <v>12</v>
      </c>
      <c r="B475" s="37">
        <v>44866</v>
      </c>
      <c r="C475" s="3">
        <v>-3144.01</v>
      </c>
    </row>
    <row r="476" spans="1:3" x14ac:dyDescent="0.35">
      <c r="A476" t="s">
        <v>9</v>
      </c>
      <c r="B476" s="37">
        <v>44866</v>
      </c>
      <c r="C476" s="3">
        <v>100598.28</v>
      </c>
    </row>
    <row r="477" spans="1:3" x14ac:dyDescent="0.35">
      <c r="A477" t="s">
        <v>4</v>
      </c>
      <c r="B477" s="37">
        <v>44866</v>
      </c>
      <c r="C477" s="3">
        <v>-805.48</v>
      </c>
    </row>
    <row r="478" spans="1:3" x14ac:dyDescent="0.35">
      <c r="A478" t="s">
        <v>13</v>
      </c>
      <c r="B478" s="37">
        <v>44866</v>
      </c>
      <c r="C478" s="3">
        <v>48749.24</v>
      </c>
    </row>
    <row r="479" spans="1:3" x14ac:dyDescent="0.35">
      <c r="A479" t="s">
        <v>0</v>
      </c>
      <c r="B479" s="37">
        <v>44835</v>
      </c>
      <c r="C479" s="3">
        <v>-272661.31</v>
      </c>
    </row>
    <row r="480" spans="1:3" x14ac:dyDescent="0.35">
      <c r="A480" t="s">
        <v>1</v>
      </c>
      <c r="B480" s="37">
        <v>44835</v>
      </c>
      <c r="C480" s="3">
        <v>-1528.77</v>
      </c>
    </row>
    <row r="481" spans="1:3" x14ac:dyDescent="0.35">
      <c r="A481" t="s">
        <v>7</v>
      </c>
      <c r="B481" s="37">
        <v>44835</v>
      </c>
      <c r="C481" s="3">
        <v>4256.76</v>
      </c>
    </row>
    <row r="482" spans="1:3" x14ac:dyDescent="0.35">
      <c r="A482" t="s">
        <v>2</v>
      </c>
      <c r="B482" s="37">
        <v>44835</v>
      </c>
      <c r="C482" s="3">
        <v>-50671.38</v>
      </c>
    </row>
    <row r="483" spans="1:3" x14ac:dyDescent="0.35">
      <c r="A483" t="s">
        <v>8</v>
      </c>
      <c r="B483" s="37">
        <v>44835</v>
      </c>
      <c r="C483" s="3">
        <v>22381.03</v>
      </c>
    </row>
    <row r="484" spans="1:3" x14ac:dyDescent="0.35">
      <c r="A484" t="s">
        <v>3</v>
      </c>
      <c r="B484" s="37">
        <v>44835</v>
      </c>
      <c r="C484" s="3">
        <v>-1103.9000000000001</v>
      </c>
    </row>
    <row r="485" spans="1:3" x14ac:dyDescent="0.35">
      <c r="A485" t="s">
        <v>12</v>
      </c>
      <c r="B485" s="37">
        <v>44835</v>
      </c>
      <c r="C485" s="3">
        <v>-1831.41</v>
      </c>
    </row>
    <row r="486" spans="1:3" x14ac:dyDescent="0.35">
      <c r="A486" t="s">
        <v>5</v>
      </c>
      <c r="B486" s="37">
        <v>44835</v>
      </c>
      <c r="C486" s="3">
        <v>-6875</v>
      </c>
    </row>
    <row r="487" spans="1:3" x14ac:dyDescent="0.35">
      <c r="A487" t="s">
        <v>9</v>
      </c>
      <c r="B487" s="37">
        <v>44835</v>
      </c>
      <c r="C487" s="3">
        <v>90454.9</v>
      </c>
    </row>
    <row r="488" spans="1:3" x14ac:dyDescent="0.35">
      <c r="A488" t="s">
        <v>4</v>
      </c>
      <c r="B488" s="37">
        <v>44835</v>
      </c>
      <c r="C488" s="3">
        <v>-832.33</v>
      </c>
    </row>
    <row r="489" spans="1:3" x14ac:dyDescent="0.35">
      <c r="A489" t="s">
        <v>13</v>
      </c>
      <c r="B489" s="37">
        <v>44835</v>
      </c>
      <c r="C489" s="3">
        <v>56290.239999999998</v>
      </c>
    </row>
    <row r="490" spans="1:3" x14ac:dyDescent="0.35">
      <c r="A490" t="s">
        <v>0</v>
      </c>
      <c r="B490" s="37">
        <v>44805</v>
      </c>
      <c r="C490" s="3">
        <v>-264391.88</v>
      </c>
    </row>
    <row r="491" spans="1:3" x14ac:dyDescent="0.35">
      <c r="A491" t="s">
        <v>1</v>
      </c>
      <c r="B491" s="37">
        <v>44805</v>
      </c>
      <c r="C491" s="3">
        <v>-1479.45</v>
      </c>
    </row>
    <row r="492" spans="1:3" x14ac:dyDescent="0.35">
      <c r="A492" t="s">
        <v>7</v>
      </c>
      <c r="B492" s="37">
        <v>44805</v>
      </c>
      <c r="C492" s="3">
        <v>2021.64</v>
      </c>
    </row>
    <row r="493" spans="1:3" x14ac:dyDescent="0.35">
      <c r="A493" t="s">
        <v>2</v>
      </c>
      <c r="B493" s="37">
        <v>44805</v>
      </c>
      <c r="C493" s="3">
        <v>-45730.17</v>
      </c>
    </row>
    <row r="494" spans="1:3" x14ac:dyDescent="0.35">
      <c r="A494" t="s">
        <v>8</v>
      </c>
      <c r="B494" s="37">
        <v>44805</v>
      </c>
      <c r="C494" s="3">
        <v>17401.59</v>
      </c>
    </row>
    <row r="495" spans="1:3" x14ac:dyDescent="0.35">
      <c r="A495" t="s">
        <v>3</v>
      </c>
      <c r="B495" s="37">
        <v>44805</v>
      </c>
      <c r="C495" s="3">
        <v>-1072.28</v>
      </c>
    </row>
    <row r="496" spans="1:3" x14ac:dyDescent="0.35">
      <c r="A496" t="s">
        <v>12</v>
      </c>
      <c r="B496" s="37">
        <v>44805</v>
      </c>
      <c r="C496" s="3">
        <v>-2052.48</v>
      </c>
    </row>
    <row r="497" spans="1:3" x14ac:dyDescent="0.35">
      <c r="A497" t="s">
        <v>9</v>
      </c>
      <c r="B497" s="37">
        <v>44805</v>
      </c>
      <c r="C497" s="3">
        <v>85667.839999999997</v>
      </c>
    </row>
    <row r="498" spans="1:3" x14ac:dyDescent="0.35">
      <c r="A498" t="s">
        <v>4</v>
      </c>
      <c r="B498" s="37">
        <v>44805</v>
      </c>
      <c r="C498" s="3">
        <v>-805.48</v>
      </c>
    </row>
    <row r="499" spans="1:3" x14ac:dyDescent="0.35">
      <c r="A499" t="s">
        <v>13</v>
      </c>
      <c r="B499" s="37">
        <v>44805</v>
      </c>
      <c r="C499" s="3">
        <v>48534.96</v>
      </c>
    </row>
    <row r="500" spans="1:3" x14ac:dyDescent="0.35">
      <c r="A500" t="s">
        <v>0</v>
      </c>
      <c r="B500" s="37">
        <v>44774</v>
      </c>
      <c r="C500" s="3">
        <v>-269824.48</v>
      </c>
    </row>
    <row r="501" spans="1:3" x14ac:dyDescent="0.35">
      <c r="A501" t="s">
        <v>1</v>
      </c>
      <c r="B501" s="37">
        <v>44774</v>
      </c>
      <c r="C501" s="3">
        <v>-1250</v>
      </c>
    </row>
    <row r="502" spans="1:3" x14ac:dyDescent="0.35">
      <c r="A502" t="s">
        <v>7</v>
      </c>
      <c r="B502" s="37">
        <v>44774</v>
      </c>
      <c r="C502" s="3">
        <v>1301.3800000000001</v>
      </c>
    </row>
    <row r="503" spans="1:3" x14ac:dyDescent="0.35">
      <c r="A503" t="s">
        <v>2</v>
      </c>
      <c r="B503" s="37">
        <v>44774</v>
      </c>
      <c r="C503" s="3">
        <v>-47040.56</v>
      </c>
    </row>
    <row r="504" spans="1:3" x14ac:dyDescent="0.35">
      <c r="A504" t="s">
        <v>8</v>
      </c>
      <c r="B504" s="37">
        <v>44774</v>
      </c>
      <c r="C504" s="3">
        <v>25081.07</v>
      </c>
    </row>
    <row r="505" spans="1:3" x14ac:dyDescent="0.35">
      <c r="A505" t="s">
        <v>3</v>
      </c>
      <c r="B505" s="37">
        <v>44774</v>
      </c>
      <c r="C505" s="3">
        <v>-1228.9000000000001</v>
      </c>
    </row>
    <row r="506" spans="1:3" x14ac:dyDescent="0.35">
      <c r="A506" t="s">
        <v>12</v>
      </c>
      <c r="B506" s="37">
        <v>44774</v>
      </c>
      <c r="C506" s="3">
        <v>-592.55999999999995</v>
      </c>
    </row>
    <row r="507" spans="1:3" x14ac:dyDescent="0.35">
      <c r="A507" t="s">
        <v>9</v>
      </c>
      <c r="B507" s="37">
        <v>44774</v>
      </c>
      <c r="C507" s="3">
        <v>79840.800000000003</v>
      </c>
    </row>
    <row r="508" spans="1:3" x14ac:dyDescent="0.35">
      <c r="A508" t="s">
        <v>13</v>
      </c>
      <c r="B508" s="37">
        <v>44774</v>
      </c>
      <c r="C508" s="3">
        <v>54349.17</v>
      </c>
    </row>
    <row r="509" spans="1:3" x14ac:dyDescent="0.35">
      <c r="A509" t="s">
        <v>0</v>
      </c>
      <c r="B509" s="37">
        <v>44743</v>
      </c>
      <c r="C509" s="3">
        <v>-267357.32</v>
      </c>
    </row>
    <row r="510" spans="1:3" x14ac:dyDescent="0.35">
      <c r="A510" t="s">
        <v>1</v>
      </c>
      <c r="B510" s="37">
        <v>44743</v>
      </c>
      <c r="C510" s="3">
        <v>-1250</v>
      </c>
    </row>
    <row r="511" spans="1:3" x14ac:dyDescent="0.35">
      <c r="A511" t="s">
        <v>7</v>
      </c>
      <c r="B511" s="37">
        <v>44743</v>
      </c>
      <c r="C511" s="3">
        <v>1692.73</v>
      </c>
    </row>
    <row r="512" spans="1:3" x14ac:dyDescent="0.35">
      <c r="A512" t="s">
        <v>2</v>
      </c>
      <c r="B512" s="37">
        <v>44743</v>
      </c>
      <c r="C512" s="3">
        <v>-45965.17</v>
      </c>
    </row>
    <row r="513" spans="1:3" x14ac:dyDescent="0.35">
      <c r="A513" t="s">
        <v>8</v>
      </c>
      <c r="B513" s="37">
        <v>44743</v>
      </c>
      <c r="C513" s="3">
        <v>37380.400000000001</v>
      </c>
    </row>
    <row r="514" spans="1:3" x14ac:dyDescent="0.35">
      <c r="A514" t="s">
        <v>3</v>
      </c>
      <c r="B514" s="37">
        <v>44743</v>
      </c>
      <c r="C514" s="3">
        <v>-1228.9000000000001</v>
      </c>
    </row>
    <row r="515" spans="1:3" x14ac:dyDescent="0.35">
      <c r="A515" t="s">
        <v>12</v>
      </c>
      <c r="B515" s="37">
        <v>44743</v>
      </c>
      <c r="C515" s="3">
        <v>-1572.57</v>
      </c>
    </row>
    <row r="516" spans="1:3" x14ac:dyDescent="0.35">
      <c r="A516" t="s">
        <v>9</v>
      </c>
      <c r="B516" s="37">
        <v>44743</v>
      </c>
      <c r="C516" s="3">
        <v>77412.75</v>
      </c>
    </row>
    <row r="517" spans="1:3" x14ac:dyDescent="0.35">
      <c r="A517" t="s">
        <v>13</v>
      </c>
      <c r="B517" s="37">
        <v>44743</v>
      </c>
      <c r="C517" s="3">
        <v>25692</v>
      </c>
    </row>
    <row r="518" spans="1:3" x14ac:dyDescent="0.35">
      <c r="A518" t="s">
        <v>0</v>
      </c>
      <c r="B518" s="37">
        <v>44713</v>
      </c>
      <c r="C518" s="3">
        <v>-253028.07</v>
      </c>
    </row>
    <row r="519" spans="1:3" x14ac:dyDescent="0.35">
      <c r="A519" t="s">
        <v>1</v>
      </c>
      <c r="B519" s="37">
        <v>44713</v>
      </c>
      <c r="C519" s="3">
        <v>-1250</v>
      </c>
    </row>
    <row r="520" spans="1:3" x14ac:dyDescent="0.35">
      <c r="A520" t="s">
        <v>7</v>
      </c>
      <c r="B520" s="37">
        <v>44713</v>
      </c>
      <c r="C520" s="3">
        <v>2588.59</v>
      </c>
    </row>
    <row r="521" spans="1:3" x14ac:dyDescent="0.35">
      <c r="A521" t="s">
        <v>2</v>
      </c>
      <c r="B521" s="37">
        <v>44713</v>
      </c>
      <c r="C521" s="3">
        <v>-48084.1</v>
      </c>
    </row>
    <row r="522" spans="1:3" x14ac:dyDescent="0.35">
      <c r="A522" t="s">
        <v>8</v>
      </c>
      <c r="B522" s="37">
        <v>44713</v>
      </c>
      <c r="C522" s="3">
        <v>17822.509999999998</v>
      </c>
    </row>
    <row r="523" spans="1:3" x14ac:dyDescent="0.35">
      <c r="A523" t="s">
        <v>3</v>
      </c>
      <c r="B523" s="37">
        <v>44713</v>
      </c>
      <c r="C523" s="3">
        <v>-139.44999999999999</v>
      </c>
    </row>
    <row r="524" spans="1:3" x14ac:dyDescent="0.35">
      <c r="A524" t="s">
        <v>12</v>
      </c>
      <c r="B524" s="37">
        <v>44713</v>
      </c>
      <c r="C524" s="3">
        <v>-1012.67</v>
      </c>
    </row>
    <row r="525" spans="1:3" x14ac:dyDescent="0.35">
      <c r="A525" t="s">
        <v>5</v>
      </c>
      <c r="B525" s="37">
        <v>44713</v>
      </c>
      <c r="C525" s="3">
        <v>-4596.2700000000004</v>
      </c>
    </row>
    <row r="526" spans="1:3" x14ac:dyDescent="0.35">
      <c r="A526" t="s">
        <v>9</v>
      </c>
      <c r="B526" s="37">
        <v>44713</v>
      </c>
      <c r="C526" s="3">
        <v>121305.16</v>
      </c>
    </row>
    <row r="527" spans="1:3" x14ac:dyDescent="0.35">
      <c r="A527" t="s">
        <v>13</v>
      </c>
      <c r="B527" s="37">
        <v>44713</v>
      </c>
      <c r="C527" s="3">
        <v>24693</v>
      </c>
    </row>
    <row r="528" spans="1:3" x14ac:dyDescent="0.35">
      <c r="A528" t="s">
        <v>0</v>
      </c>
      <c r="B528" s="37">
        <v>44682</v>
      </c>
      <c r="C528" s="3">
        <v>-252583.71</v>
      </c>
    </row>
    <row r="529" spans="1:3" x14ac:dyDescent="0.35">
      <c r="A529" t="s">
        <v>1</v>
      </c>
      <c r="B529" s="37">
        <v>44682</v>
      </c>
      <c r="C529" s="3">
        <v>-1250</v>
      </c>
    </row>
    <row r="530" spans="1:3" x14ac:dyDescent="0.35">
      <c r="A530" t="s">
        <v>7</v>
      </c>
      <c r="B530" s="37">
        <v>44682</v>
      </c>
      <c r="C530" s="3">
        <v>2591.4</v>
      </c>
    </row>
    <row r="531" spans="1:3" x14ac:dyDescent="0.35">
      <c r="A531" t="s">
        <v>2</v>
      </c>
      <c r="B531" s="37">
        <v>44682</v>
      </c>
      <c r="C531" s="3">
        <v>-45229.8</v>
      </c>
    </row>
    <row r="532" spans="1:3" x14ac:dyDescent="0.35">
      <c r="A532" t="s">
        <v>8</v>
      </c>
      <c r="B532" s="37">
        <v>44682</v>
      </c>
      <c r="C532" s="3">
        <v>14173.44</v>
      </c>
    </row>
    <row r="533" spans="1:3" x14ac:dyDescent="0.35">
      <c r="A533" t="s">
        <v>3</v>
      </c>
      <c r="B533" s="37">
        <v>44682</v>
      </c>
      <c r="C533" s="3">
        <v>-1714.98</v>
      </c>
    </row>
    <row r="534" spans="1:3" x14ac:dyDescent="0.35">
      <c r="A534" t="s">
        <v>12</v>
      </c>
      <c r="B534" s="37">
        <v>44682</v>
      </c>
      <c r="C534" s="3">
        <v>-604.23</v>
      </c>
    </row>
    <row r="535" spans="1:3" x14ac:dyDescent="0.35">
      <c r="A535" t="s">
        <v>5</v>
      </c>
      <c r="B535" s="37">
        <v>44682</v>
      </c>
      <c r="C535" s="3">
        <v>-10000.01</v>
      </c>
    </row>
    <row r="536" spans="1:3" x14ac:dyDescent="0.35">
      <c r="A536" t="s">
        <v>9</v>
      </c>
      <c r="B536" s="37">
        <v>44682</v>
      </c>
      <c r="C536" s="3">
        <v>73844.649999999994</v>
      </c>
    </row>
    <row r="537" spans="1:3" x14ac:dyDescent="0.35">
      <c r="A537" t="s">
        <v>13</v>
      </c>
      <c r="B537" s="37">
        <v>44682</v>
      </c>
      <c r="C537" s="3">
        <v>32825</v>
      </c>
    </row>
    <row r="538" spans="1:3" x14ac:dyDescent="0.35">
      <c r="A538" t="s">
        <v>0</v>
      </c>
      <c r="B538" s="37">
        <v>44652</v>
      </c>
      <c r="C538" s="3">
        <v>-246794.29</v>
      </c>
    </row>
    <row r="539" spans="1:3" x14ac:dyDescent="0.35">
      <c r="A539" t="s">
        <v>1</v>
      </c>
      <c r="B539" s="37">
        <v>44652</v>
      </c>
      <c r="C539" s="3">
        <v>-1250</v>
      </c>
    </row>
    <row r="540" spans="1:3" x14ac:dyDescent="0.35">
      <c r="A540" t="s">
        <v>7</v>
      </c>
      <c r="B540" s="37">
        <v>44652</v>
      </c>
      <c r="C540" s="3">
        <v>2696.44</v>
      </c>
    </row>
    <row r="541" spans="1:3" x14ac:dyDescent="0.35">
      <c r="A541" t="s">
        <v>2</v>
      </c>
      <c r="B541" s="37">
        <v>44652</v>
      </c>
      <c r="C541" s="3">
        <v>-39399.769999999997</v>
      </c>
    </row>
    <row r="542" spans="1:3" x14ac:dyDescent="0.35">
      <c r="A542" t="s">
        <v>8</v>
      </c>
      <c r="B542" s="37">
        <v>44652</v>
      </c>
      <c r="C542" s="3">
        <v>12263.06</v>
      </c>
    </row>
    <row r="543" spans="1:3" x14ac:dyDescent="0.35">
      <c r="A543" t="s">
        <v>3</v>
      </c>
      <c r="B543" s="37">
        <v>44652</v>
      </c>
      <c r="C543" s="3">
        <v>-1301.3699999999999</v>
      </c>
    </row>
    <row r="544" spans="1:3" x14ac:dyDescent="0.35">
      <c r="A544" t="s">
        <v>12</v>
      </c>
      <c r="B544" s="37">
        <v>44652</v>
      </c>
      <c r="C544" s="3">
        <v>2373.73</v>
      </c>
    </row>
    <row r="545" spans="1:3" x14ac:dyDescent="0.35">
      <c r="A545" t="s">
        <v>5</v>
      </c>
      <c r="B545" s="37">
        <v>44652</v>
      </c>
      <c r="C545" s="3">
        <v>-0.01</v>
      </c>
    </row>
    <row r="546" spans="1:3" x14ac:dyDescent="0.35">
      <c r="A546" t="s">
        <v>9</v>
      </c>
      <c r="B546" s="37">
        <v>44652</v>
      </c>
      <c r="C546" s="3">
        <v>70590.28</v>
      </c>
    </row>
    <row r="547" spans="1:3" x14ac:dyDescent="0.35">
      <c r="A547" t="s">
        <v>13</v>
      </c>
      <c r="B547" s="37">
        <v>44652</v>
      </c>
      <c r="C547" s="3">
        <v>28215</v>
      </c>
    </row>
    <row r="548" spans="1:3" x14ac:dyDescent="0.35">
      <c r="A548" t="s">
        <v>0</v>
      </c>
      <c r="B548" s="37">
        <v>44621</v>
      </c>
      <c r="C548" s="3">
        <v>-237563.67</v>
      </c>
    </row>
    <row r="549" spans="1:3" x14ac:dyDescent="0.35">
      <c r="A549" t="s">
        <v>1</v>
      </c>
      <c r="B549" s="37">
        <v>44621</v>
      </c>
      <c r="C549" s="3">
        <v>-1250</v>
      </c>
    </row>
    <row r="550" spans="1:3" x14ac:dyDescent="0.35">
      <c r="A550" t="s">
        <v>7</v>
      </c>
      <c r="B550" s="37">
        <v>44621</v>
      </c>
      <c r="C550" s="3">
        <v>2485.56</v>
      </c>
    </row>
    <row r="551" spans="1:3" x14ac:dyDescent="0.35">
      <c r="A551" t="s">
        <v>2</v>
      </c>
      <c r="B551" s="37">
        <v>44621</v>
      </c>
      <c r="C551" s="3">
        <v>-43817.99</v>
      </c>
    </row>
    <row r="552" spans="1:3" x14ac:dyDescent="0.35">
      <c r="A552" t="s">
        <v>8</v>
      </c>
      <c r="B552" s="37">
        <v>44621</v>
      </c>
      <c r="C552" s="3">
        <v>11091.32</v>
      </c>
    </row>
    <row r="553" spans="1:3" x14ac:dyDescent="0.35">
      <c r="A553" t="s">
        <v>3</v>
      </c>
      <c r="B553" s="37">
        <v>44621</v>
      </c>
      <c r="C553" s="3">
        <v>-1305.48</v>
      </c>
    </row>
    <row r="554" spans="1:3" x14ac:dyDescent="0.35">
      <c r="A554" t="s">
        <v>12</v>
      </c>
      <c r="B554" s="37">
        <v>44621</v>
      </c>
      <c r="C554" s="3">
        <v>355.72</v>
      </c>
    </row>
    <row r="555" spans="1:3" x14ac:dyDescent="0.35">
      <c r="A555" t="s">
        <v>5</v>
      </c>
      <c r="B555" s="37">
        <v>44621</v>
      </c>
      <c r="C555" s="3">
        <v>96.29</v>
      </c>
    </row>
    <row r="556" spans="1:3" x14ac:dyDescent="0.35">
      <c r="A556" t="s">
        <v>9</v>
      </c>
      <c r="B556" s="37">
        <v>44621</v>
      </c>
      <c r="C556" s="3">
        <v>72201.34</v>
      </c>
    </row>
    <row r="557" spans="1:3" x14ac:dyDescent="0.35">
      <c r="A557" t="s">
        <v>13</v>
      </c>
      <c r="B557" s="37">
        <v>44621</v>
      </c>
      <c r="C557" s="3">
        <v>26296</v>
      </c>
    </row>
    <row r="558" spans="1:3" x14ac:dyDescent="0.35">
      <c r="A558" t="s">
        <v>0</v>
      </c>
      <c r="B558" s="37">
        <v>44593</v>
      </c>
      <c r="C558" s="3">
        <v>-209910.73</v>
      </c>
    </row>
    <row r="559" spans="1:3" x14ac:dyDescent="0.35">
      <c r="A559" t="s">
        <v>1</v>
      </c>
      <c r="B559" s="37">
        <v>44593</v>
      </c>
      <c r="C559" s="3">
        <v>-1250</v>
      </c>
    </row>
    <row r="560" spans="1:3" x14ac:dyDescent="0.35">
      <c r="A560" t="s">
        <v>7</v>
      </c>
      <c r="B560" s="37">
        <v>44593</v>
      </c>
      <c r="C560" s="3">
        <v>2485.56</v>
      </c>
    </row>
    <row r="561" spans="1:3" x14ac:dyDescent="0.35">
      <c r="A561" t="s">
        <v>2</v>
      </c>
      <c r="B561" s="37">
        <v>44593</v>
      </c>
      <c r="C561" s="3">
        <v>-39813.99</v>
      </c>
    </row>
    <row r="562" spans="1:3" x14ac:dyDescent="0.35">
      <c r="A562" t="s">
        <v>8</v>
      </c>
      <c r="B562" s="37">
        <v>44593</v>
      </c>
      <c r="C562" s="3">
        <v>13494.1</v>
      </c>
    </row>
    <row r="563" spans="1:3" x14ac:dyDescent="0.35">
      <c r="A563" t="s">
        <v>3</v>
      </c>
      <c r="B563" s="37">
        <v>44593</v>
      </c>
      <c r="C563" s="3">
        <v>-1178.08</v>
      </c>
    </row>
    <row r="564" spans="1:3" x14ac:dyDescent="0.35">
      <c r="A564" t="s">
        <v>12</v>
      </c>
      <c r="B564" s="37">
        <v>44593</v>
      </c>
      <c r="C564" s="3">
        <v>80.72</v>
      </c>
    </row>
    <row r="565" spans="1:3" x14ac:dyDescent="0.35">
      <c r="A565" t="s">
        <v>9</v>
      </c>
      <c r="B565" s="37">
        <v>44593</v>
      </c>
      <c r="C565" s="3">
        <v>71784.63</v>
      </c>
    </row>
    <row r="566" spans="1:3" x14ac:dyDescent="0.35">
      <c r="A566" t="s">
        <v>13</v>
      </c>
      <c r="B566" s="37">
        <v>44593</v>
      </c>
      <c r="C566" s="3">
        <v>24756</v>
      </c>
    </row>
    <row r="567" spans="1:3" x14ac:dyDescent="0.35">
      <c r="A567" t="s">
        <v>0</v>
      </c>
      <c r="B567" s="37">
        <v>44562</v>
      </c>
      <c r="C567" s="3">
        <v>-212427.24</v>
      </c>
    </row>
    <row r="568" spans="1:3" x14ac:dyDescent="0.35">
      <c r="A568" t="s">
        <v>1</v>
      </c>
      <c r="B568" s="37">
        <v>44562</v>
      </c>
      <c r="C568" s="3">
        <v>-1250</v>
      </c>
    </row>
    <row r="569" spans="1:3" x14ac:dyDescent="0.35">
      <c r="A569" t="s">
        <v>7</v>
      </c>
      <c r="B569" s="37">
        <v>44562</v>
      </c>
      <c r="C569" s="3">
        <v>2485.56</v>
      </c>
    </row>
    <row r="570" spans="1:3" x14ac:dyDescent="0.35">
      <c r="A570" t="s">
        <v>2</v>
      </c>
      <c r="B570" s="37">
        <v>44562</v>
      </c>
      <c r="C570" s="3">
        <v>-43980.67</v>
      </c>
    </row>
    <row r="571" spans="1:3" x14ac:dyDescent="0.35">
      <c r="A571" t="s">
        <v>8</v>
      </c>
      <c r="B571" s="37">
        <v>44562</v>
      </c>
      <c r="C571" s="3">
        <v>12121.94</v>
      </c>
    </row>
    <row r="572" spans="1:3" x14ac:dyDescent="0.35">
      <c r="A572" t="s">
        <v>3</v>
      </c>
      <c r="B572" s="37">
        <v>44562</v>
      </c>
      <c r="C572" s="3">
        <v>-1178.08</v>
      </c>
    </row>
    <row r="573" spans="1:3" x14ac:dyDescent="0.35">
      <c r="A573" t="s">
        <v>12</v>
      </c>
      <c r="B573" s="37">
        <v>44562</v>
      </c>
      <c r="C573" s="3">
        <v>-2</v>
      </c>
    </row>
    <row r="574" spans="1:3" x14ac:dyDescent="0.35">
      <c r="A574" t="s">
        <v>9</v>
      </c>
      <c r="B574" s="37">
        <v>44562</v>
      </c>
      <c r="C574" s="3">
        <v>71044.95</v>
      </c>
    </row>
    <row r="575" spans="1:3" x14ac:dyDescent="0.35">
      <c r="A575" t="s">
        <v>13</v>
      </c>
      <c r="B575" s="37">
        <v>44562</v>
      </c>
      <c r="C575" s="3">
        <v>26226</v>
      </c>
    </row>
    <row r="576" spans="1:3" x14ac:dyDescent="0.35">
      <c r="B576" s="37"/>
      <c r="C576" s="3"/>
    </row>
    <row r="577" spans="2:3" x14ac:dyDescent="0.35">
      <c r="B577" s="37"/>
      <c r="C577" s="3"/>
    </row>
    <row r="578" spans="2:3" x14ac:dyDescent="0.35">
      <c r="B578" s="37"/>
      <c r="C578" s="3"/>
    </row>
    <row r="579" spans="2:3" x14ac:dyDescent="0.35">
      <c r="B579" s="37"/>
      <c r="C579" s="3"/>
    </row>
    <row r="580" spans="2:3" x14ac:dyDescent="0.35">
      <c r="B580" s="37"/>
      <c r="C580" s="3"/>
    </row>
    <row r="581" spans="2:3" x14ac:dyDescent="0.35">
      <c r="B581" s="37"/>
      <c r="C581" s="3"/>
    </row>
    <row r="582" spans="2:3" x14ac:dyDescent="0.35">
      <c r="B582" s="37"/>
      <c r="C582" s="3"/>
    </row>
    <row r="583" spans="2:3" x14ac:dyDescent="0.35">
      <c r="B583" s="37"/>
      <c r="C583" s="3"/>
    </row>
    <row r="584" spans="2:3" x14ac:dyDescent="0.35">
      <c r="B584" s="37"/>
      <c r="C584" s="3"/>
    </row>
    <row r="585" spans="2:3" x14ac:dyDescent="0.35">
      <c r="B585" s="37"/>
      <c r="C585" s="3"/>
    </row>
    <row r="586" spans="2:3" x14ac:dyDescent="0.35">
      <c r="B586" s="37"/>
      <c r="C586" s="3"/>
    </row>
    <row r="587" spans="2:3" x14ac:dyDescent="0.35">
      <c r="B587" s="37"/>
      <c r="C587" s="3"/>
    </row>
    <row r="588" spans="2:3" x14ac:dyDescent="0.35">
      <c r="B588" s="37"/>
      <c r="C588" s="3"/>
    </row>
    <row r="589" spans="2:3" x14ac:dyDescent="0.35">
      <c r="B589" s="37"/>
      <c r="C589" s="3"/>
    </row>
    <row r="590" spans="2:3" x14ac:dyDescent="0.35">
      <c r="B590" s="37"/>
      <c r="C590" s="3"/>
    </row>
    <row r="591" spans="2:3" x14ac:dyDescent="0.35">
      <c r="B591" s="37"/>
      <c r="C591" s="3"/>
    </row>
    <row r="592" spans="2:3" x14ac:dyDescent="0.35">
      <c r="B592" s="37"/>
      <c r="C592" s="3"/>
    </row>
    <row r="593" spans="2:3" x14ac:dyDescent="0.35">
      <c r="B593" s="37"/>
      <c r="C593" s="3"/>
    </row>
    <row r="594" spans="2:3" x14ac:dyDescent="0.35">
      <c r="B594" s="37"/>
      <c r="C594" s="3"/>
    </row>
    <row r="595" spans="2:3" x14ac:dyDescent="0.35">
      <c r="B595" s="37"/>
      <c r="C595" s="3"/>
    </row>
    <row r="596" spans="2:3" x14ac:dyDescent="0.35">
      <c r="B596" s="37"/>
      <c r="C596" s="3"/>
    </row>
    <row r="597" spans="2:3" x14ac:dyDescent="0.35">
      <c r="B597" s="37"/>
      <c r="C597" s="3"/>
    </row>
    <row r="598" spans="2:3" x14ac:dyDescent="0.35">
      <c r="B598" s="37"/>
      <c r="C598" s="3"/>
    </row>
    <row r="599" spans="2:3" x14ac:dyDescent="0.35">
      <c r="B599" s="37"/>
      <c r="C599" s="3"/>
    </row>
    <row r="600" spans="2:3" x14ac:dyDescent="0.35">
      <c r="B600" s="37"/>
      <c r="C600" s="3"/>
    </row>
    <row r="601" spans="2:3" x14ac:dyDescent="0.35">
      <c r="B601" s="37"/>
      <c r="C601" s="3"/>
    </row>
    <row r="602" spans="2:3" x14ac:dyDescent="0.35">
      <c r="B602" s="37"/>
      <c r="C602" s="3"/>
    </row>
    <row r="603" spans="2:3" x14ac:dyDescent="0.35">
      <c r="B603" s="37"/>
      <c r="C603" s="3"/>
    </row>
    <row r="604" spans="2:3" x14ac:dyDescent="0.35">
      <c r="B604" s="37"/>
      <c r="C604" s="3"/>
    </row>
    <row r="605" spans="2:3" x14ac:dyDescent="0.35">
      <c r="B605" s="37"/>
      <c r="C605" s="3"/>
    </row>
    <row r="606" spans="2:3" x14ac:dyDescent="0.35">
      <c r="B606" s="37"/>
      <c r="C606" s="3"/>
    </row>
    <row r="607" spans="2:3" x14ac:dyDescent="0.35">
      <c r="B607" s="37"/>
      <c r="C607" s="3"/>
    </row>
    <row r="608" spans="2:3" x14ac:dyDescent="0.35">
      <c r="B608" s="37"/>
      <c r="C608" s="3"/>
    </row>
    <row r="609" spans="2:3" x14ac:dyDescent="0.35">
      <c r="B609" s="37"/>
      <c r="C609" s="3"/>
    </row>
  </sheetData>
  <autoFilter ref="A3:C575" xr:uid="{A4FE1E53-C658-4464-8BB6-9EFE84ED36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027F-4180-46A1-BC05-04A719102375}">
  <dimension ref="A2:K66"/>
  <sheetViews>
    <sheetView workbookViewId="0"/>
  </sheetViews>
  <sheetFormatPr defaultRowHeight="15" x14ac:dyDescent="0.35"/>
  <cols>
    <col min="1" max="1" width="10.5546875" bestFit="1" customWidth="1"/>
    <col min="2" max="2" width="15.21875" customWidth="1"/>
    <col min="3" max="3" width="18.77734375" customWidth="1"/>
    <col min="4" max="4" width="10" bestFit="1" customWidth="1"/>
    <col min="5" max="6" width="11" bestFit="1" customWidth="1"/>
    <col min="7" max="8" width="10" customWidth="1"/>
  </cols>
  <sheetData>
    <row r="2" spans="1:11" x14ac:dyDescent="0.35">
      <c r="J2" t="s">
        <v>41</v>
      </c>
      <c r="K2" t="s">
        <v>40</v>
      </c>
    </row>
    <row r="3" spans="1:11" s="1" customFormat="1" x14ac:dyDescent="0.35">
      <c r="A3" s="1" t="s">
        <v>27</v>
      </c>
      <c r="B3" s="1" t="s">
        <v>30</v>
      </c>
      <c r="C3" s="1" t="s">
        <v>31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J3" s="5" t="s">
        <v>0</v>
      </c>
      <c r="K3" s="44">
        <v>0.6</v>
      </c>
    </row>
    <row r="4" spans="1:11" x14ac:dyDescent="0.35">
      <c r="A4" s="37">
        <v>44562</v>
      </c>
      <c r="B4" s="3"/>
      <c r="C4" s="3"/>
      <c r="J4" t="s">
        <v>2</v>
      </c>
      <c r="K4" s="44">
        <v>0.2</v>
      </c>
    </row>
    <row r="5" spans="1:11" x14ac:dyDescent="0.35">
      <c r="A5" s="37">
        <v>44593</v>
      </c>
      <c r="B5" s="3"/>
      <c r="C5" s="3"/>
      <c r="J5" s="5" t="s">
        <v>3</v>
      </c>
      <c r="K5" s="44">
        <v>0.1</v>
      </c>
    </row>
    <row r="6" spans="1:11" x14ac:dyDescent="0.35">
      <c r="A6" s="37">
        <v>44621</v>
      </c>
      <c r="B6" s="3"/>
      <c r="C6" s="3"/>
      <c r="J6" t="s">
        <v>1</v>
      </c>
      <c r="K6" s="44">
        <v>0.05</v>
      </c>
    </row>
    <row r="7" spans="1:11" x14ac:dyDescent="0.35">
      <c r="A7" s="37">
        <v>44652</v>
      </c>
      <c r="B7" s="3"/>
      <c r="C7" s="3"/>
      <c r="J7" s="5" t="s">
        <v>4</v>
      </c>
      <c r="K7" s="44">
        <v>0.04</v>
      </c>
    </row>
    <row r="8" spans="1:11" x14ac:dyDescent="0.35">
      <c r="A8" s="37">
        <v>44682</v>
      </c>
      <c r="B8" s="3"/>
      <c r="C8" s="3"/>
      <c r="J8" t="s">
        <v>38</v>
      </c>
      <c r="K8" s="44">
        <v>0</v>
      </c>
    </row>
    <row r="9" spans="1:11" x14ac:dyDescent="0.35">
      <c r="A9" s="37">
        <v>44713</v>
      </c>
      <c r="B9" s="3"/>
      <c r="C9" s="3"/>
      <c r="J9" s="5" t="s">
        <v>5</v>
      </c>
      <c r="K9" s="44">
        <v>0.01</v>
      </c>
    </row>
    <row r="10" spans="1:11" x14ac:dyDescent="0.35">
      <c r="A10" s="37">
        <v>44743</v>
      </c>
      <c r="B10" s="3"/>
      <c r="C10" s="3"/>
    </row>
    <row r="11" spans="1:11" x14ac:dyDescent="0.35">
      <c r="A11" s="37">
        <v>44774</v>
      </c>
      <c r="B11" s="3"/>
      <c r="C11" s="3"/>
    </row>
    <row r="12" spans="1:11" x14ac:dyDescent="0.35">
      <c r="A12" s="37">
        <v>44805</v>
      </c>
      <c r="B12" s="3"/>
      <c r="C12" s="3"/>
    </row>
    <row r="13" spans="1:11" x14ac:dyDescent="0.35">
      <c r="A13" s="37">
        <v>44835</v>
      </c>
      <c r="B13" s="3"/>
      <c r="C13" s="3"/>
    </row>
    <row r="14" spans="1:11" x14ac:dyDescent="0.35">
      <c r="A14" s="37">
        <v>44866</v>
      </c>
      <c r="B14" s="3"/>
      <c r="C14" s="3"/>
    </row>
    <row r="15" spans="1:11" x14ac:dyDescent="0.35">
      <c r="A15" s="37">
        <v>44896</v>
      </c>
      <c r="B15" s="3"/>
      <c r="C15" s="3"/>
    </row>
    <row r="16" spans="1:11" x14ac:dyDescent="0.35">
      <c r="A16" s="37">
        <v>44927</v>
      </c>
      <c r="B16" s="3"/>
      <c r="C16" s="3"/>
    </row>
    <row r="17" spans="1:3" x14ac:dyDescent="0.35">
      <c r="A17" s="37">
        <v>44958</v>
      </c>
      <c r="B17" s="3"/>
      <c r="C17" s="3"/>
    </row>
    <row r="18" spans="1:3" x14ac:dyDescent="0.35">
      <c r="A18" s="37">
        <v>44986</v>
      </c>
      <c r="B18" s="3"/>
      <c r="C18" s="3"/>
    </row>
    <row r="19" spans="1:3" x14ac:dyDescent="0.35">
      <c r="A19" s="37">
        <v>45017</v>
      </c>
      <c r="B19" s="3">
        <v>196350</v>
      </c>
      <c r="C19" s="3">
        <v>327250</v>
      </c>
    </row>
    <row r="20" spans="1:3" x14ac:dyDescent="0.35">
      <c r="A20" s="37">
        <v>45047</v>
      </c>
      <c r="B20" s="3">
        <v>200700</v>
      </c>
      <c r="C20" s="3">
        <v>334500</v>
      </c>
    </row>
    <row r="21" spans="1:3" x14ac:dyDescent="0.35">
      <c r="A21" s="37">
        <v>45078</v>
      </c>
      <c r="B21" s="3">
        <v>205050</v>
      </c>
      <c r="C21" s="3">
        <v>341750</v>
      </c>
    </row>
    <row r="22" spans="1:3" x14ac:dyDescent="0.35">
      <c r="A22" s="37">
        <v>45108</v>
      </c>
      <c r="B22" s="3">
        <v>209400</v>
      </c>
      <c r="C22" s="3">
        <v>349000</v>
      </c>
    </row>
    <row r="23" spans="1:3" x14ac:dyDescent="0.35">
      <c r="A23" s="37">
        <v>45139</v>
      </c>
      <c r="B23" s="3">
        <v>213750</v>
      </c>
      <c r="C23" s="3">
        <v>356250</v>
      </c>
    </row>
    <row r="24" spans="1:3" x14ac:dyDescent="0.35">
      <c r="A24" s="37">
        <v>45170</v>
      </c>
      <c r="B24" s="3">
        <v>218100</v>
      </c>
      <c r="C24" s="3">
        <v>363500</v>
      </c>
    </row>
    <row r="25" spans="1:3" x14ac:dyDescent="0.35">
      <c r="A25" s="37">
        <v>45200</v>
      </c>
      <c r="B25" s="3">
        <v>222450</v>
      </c>
      <c r="C25" s="3">
        <v>370750</v>
      </c>
    </row>
    <row r="26" spans="1:3" x14ac:dyDescent="0.35">
      <c r="A26" s="37">
        <v>45231</v>
      </c>
      <c r="B26" s="3">
        <v>226800</v>
      </c>
      <c r="C26" s="3">
        <v>378000</v>
      </c>
    </row>
    <row r="27" spans="1:3" x14ac:dyDescent="0.35">
      <c r="A27" s="37">
        <v>45261</v>
      </c>
      <c r="B27" s="3">
        <v>231150</v>
      </c>
      <c r="C27" s="3">
        <v>385250</v>
      </c>
    </row>
    <row r="28" spans="1:3" x14ac:dyDescent="0.35">
      <c r="A28" s="37">
        <v>45292</v>
      </c>
      <c r="B28" s="3">
        <v>235500</v>
      </c>
      <c r="C28" s="3">
        <v>392500</v>
      </c>
    </row>
    <row r="29" spans="1:3" x14ac:dyDescent="0.35">
      <c r="A29" s="37">
        <v>45323</v>
      </c>
      <c r="B29" s="3">
        <v>239850</v>
      </c>
      <c r="C29" s="3">
        <v>399750</v>
      </c>
    </row>
    <row r="30" spans="1:3" x14ac:dyDescent="0.35">
      <c r="A30" s="37">
        <v>45352</v>
      </c>
      <c r="B30" s="3">
        <v>244200</v>
      </c>
      <c r="C30" s="3">
        <v>407000</v>
      </c>
    </row>
    <row r="31" spans="1:3" x14ac:dyDescent="0.35">
      <c r="A31" s="37">
        <v>45383</v>
      </c>
      <c r="B31" s="3">
        <v>217556</v>
      </c>
      <c r="C31" s="3">
        <v>443556</v>
      </c>
    </row>
    <row r="32" spans="1:3" x14ac:dyDescent="0.35">
      <c r="A32" s="37">
        <v>45413</v>
      </c>
      <c r="B32" s="3">
        <v>223111</v>
      </c>
      <c r="C32" s="3">
        <v>449111</v>
      </c>
    </row>
    <row r="33" spans="1:3" x14ac:dyDescent="0.35">
      <c r="A33" s="37">
        <v>45444</v>
      </c>
      <c r="B33" s="3">
        <v>223667</v>
      </c>
      <c r="C33" s="3">
        <v>454667</v>
      </c>
    </row>
    <row r="34" spans="1:3" x14ac:dyDescent="0.35">
      <c r="A34" s="37">
        <v>45474</v>
      </c>
      <c r="B34" s="3">
        <v>212972</v>
      </c>
      <c r="C34" s="3">
        <v>460222</v>
      </c>
    </row>
    <row r="35" spans="1:3" x14ac:dyDescent="0.35">
      <c r="A35" s="37">
        <v>45505</v>
      </c>
      <c r="B35" s="3">
        <v>218528</v>
      </c>
      <c r="C35" s="3">
        <v>465778</v>
      </c>
    </row>
    <row r="36" spans="1:3" x14ac:dyDescent="0.35">
      <c r="A36" s="37">
        <v>45536</v>
      </c>
      <c r="B36" s="3">
        <v>224083</v>
      </c>
      <c r="C36" s="3">
        <v>471333</v>
      </c>
    </row>
    <row r="37" spans="1:3" x14ac:dyDescent="0.35">
      <c r="A37" s="37">
        <v>45566</v>
      </c>
      <c r="B37" s="3">
        <v>229639</v>
      </c>
      <c r="C37" s="3">
        <v>476889</v>
      </c>
    </row>
    <row r="38" spans="1:3" x14ac:dyDescent="0.35">
      <c r="A38" s="37">
        <v>45597</v>
      </c>
      <c r="B38" s="3">
        <v>235194</v>
      </c>
      <c r="C38" s="3">
        <v>482444</v>
      </c>
    </row>
    <row r="39" spans="1:3" x14ac:dyDescent="0.35">
      <c r="A39" s="37">
        <v>45627</v>
      </c>
      <c r="B39" s="3">
        <v>240750</v>
      </c>
      <c r="C39" s="3">
        <v>488000</v>
      </c>
    </row>
    <row r="40" spans="1:3" x14ac:dyDescent="0.35">
      <c r="A40" s="37">
        <v>45658</v>
      </c>
      <c r="B40" s="3">
        <v>246306</v>
      </c>
      <c r="C40" s="3">
        <v>493556</v>
      </c>
    </row>
    <row r="41" spans="1:3" x14ac:dyDescent="0.35">
      <c r="A41" s="37">
        <v>45689</v>
      </c>
      <c r="B41" s="3">
        <v>251861</v>
      </c>
      <c r="C41" s="3">
        <v>499111</v>
      </c>
    </row>
    <row r="42" spans="1:3" x14ac:dyDescent="0.35">
      <c r="A42" s="37">
        <v>45717</v>
      </c>
      <c r="B42" s="3">
        <v>257417</v>
      </c>
      <c r="C42" s="3">
        <v>504667</v>
      </c>
    </row>
    <row r="43" spans="1:3" x14ac:dyDescent="0.35">
      <c r="A43" s="37">
        <v>45748</v>
      </c>
      <c r="B43" s="3">
        <v>232131.8931604462</v>
      </c>
      <c r="C43" s="3">
        <v>489199.46669815463</v>
      </c>
    </row>
    <row r="44" spans="1:3" x14ac:dyDescent="0.35">
      <c r="A44" s="37">
        <v>45778</v>
      </c>
      <c r="B44" s="3">
        <v>274594.79645974864</v>
      </c>
      <c r="C44" s="3">
        <v>538634.18607181171</v>
      </c>
    </row>
    <row r="45" spans="1:3" x14ac:dyDescent="0.35">
      <c r="A45" s="37">
        <v>45809</v>
      </c>
      <c r="B45" s="3">
        <v>128857.83324453776</v>
      </c>
      <c r="C45" s="3">
        <v>507473.32002370176</v>
      </c>
    </row>
    <row r="46" spans="1:3" x14ac:dyDescent="0.35">
      <c r="A46" s="37">
        <v>45839</v>
      </c>
      <c r="B46" s="3">
        <v>199579.17185376631</v>
      </c>
      <c r="C46" s="3">
        <v>524474.12772547209</v>
      </c>
    </row>
    <row r="47" spans="1:3" x14ac:dyDescent="0.35">
      <c r="A47" s="37">
        <v>45870</v>
      </c>
      <c r="B47" s="3">
        <v>177320.44548539357</v>
      </c>
      <c r="C47" s="3">
        <v>529025.91066721408</v>
      </c>
    </row>
    <row r="48" spans="1:3" x14ac:dyDescent="0.35">
      <c r="A48" s="37">
        <v>45901</v>
      </c>
      <c r="B48" s="3">
        <v>228801.32246469281</v>
      </c>
      <c r="C48" s="3">
        <v>531495.64291956532</v>
      </c>
    </row>
    <row r="49" spans="1:8" x14ac:dyDescent="0.35">
      <c r="A49" s="37">
        <v>45931</v>
      </c>
      <c r="B49" s="3">
        <v>218101.42759385332</v>
      </c>
      <c r="C49" s="3">
        <v>555391.6523364326</v>
      </c>
    </row>
    <row r="50" spans="1:8" x14ac:dyDescent="0.35">
      <c r="A50" s="37">
        <v>45962</v>
      </c>
      <c r="B50" s="3">
        <v>251826.83408117987</v>
      </c>
      <c r="C50" s="3">
        <v>563611.01752302202</v>
      </c>
    </row>
    <row r="51" spans="1:8" x14ac:dyDescent="0.35">
      <c r="A51" s="37">
        <v>45992</v>
      </c>
      <c r="B51" s="3">
        <v>239164.86394069815</v>
      </c>
      <c r="C51" s="3">
        <v>585887.56848194543</v>
      </c>
    </row>
    <row r="52" spans="1:8" x14ac:dyDescent="0.35">
      <c r="A52" s="37">
        <v>46023</v>
      </c>
      <c r="B52" s="3">
        <v>246094.23119472404</v>
      </c>
      <c r="C52" s="3">
        <v>587421.82367650757</v>
      </c>
    </row>
    <row r="53" spans="1:8" x14ac:dyDescent="0.35">
      <c r="A53" s="37">
        <v>46054</v>
      </c>
      <c r="B53" s="3">
        <v>184157.04577385006</v>
      </c>
      <c r="C53" s="3">
        <v>544528.85427438549</v>
      </c>
    </row>
    <row r="54" spans="1:8" x14ac:dyDescent="0.35">
      <c r="A54" s="37">
        <v>46082</v>
      </c>
      <c r="B54" s="3">
        <v>196561.95474710845</v>
      </c>
      <c r="C54" s="3">
        <v>589414.86960178672</v>
      </c>
    </row>
    <row r="55" spans="1:8" x14ac:dyDescent="0.35">
      <c r="A55" s="37">
        <v>46113</v>
      </c>
      <c r="B55" s="3">
        <v>307804.86003978719</v>
      </c>
      <c r="C55" s="3">
        <v>585098.47423513851</v>
      </c>
      <c r="D55" s="3">
        <v>5146.2348210457894</v>
      </c>
      <c r="E55" s="3">
        <v>85533.751608916093</v>
      </c>
      <c r="F55" s="3">
        <v>187327.00915431438</v>
      </c>
      <c r="G55">
        <v>-18762</v>
      </c>
      <c r="H55" s="3">
        <f>+Table1[[#This Row],[Revenue - Budget]]*13%</f>
        <v>76062.801650568013</v>
      </c>
    </row>
    <row r="56" spans="1:8" x14ac:dyDescent="0.35">
      <c r="A56" s="37">
        <v>46143</v>
      </c>
      <c r="B56" s="3">
        <v>333267.01266385615</v>
      </c>
      <c r="C56" s="3">
        <v>615915.91146193771</v>
      </c>
      <c r="D56" s="3">
        <v>5178.8404065708473</v>
      </c>
      <c r="E56" s="3">
        <v>97142.722583001421</v>
      </c>
      <c r="F56" s="3">
        <v>180993.58924473388</v>
      </c>
      <c r="G56">
        <v>-18762</v>
      </c>
      <c r="H56" s="3">
        <f>+Table1[[#This Row],[Revenue - Budget]]*13%</f>
        <v>80069.068490051912</v>
      </c>
    </row>
    <row r="57" spans="1:8" x14ac:dyDescent="0.35">
      <c r="A57" s="37">
        <v>46174</v>
      </c>
      <c r="B57" s="3">
        <v>169810.03559894615</v>
      </c>
      <c r="C57" s="3">
        <v>613339.07849962264</v>
      </c>
      <c r="D57" s="3">
        <v>33470.842825164567</v>
      </c>
      <c r="E57" s="3">
        <v>116103.73340836634</v>
      </c>
      <c r="F57" s="3">
        <v>294814.99044727784</v>
      </c>
      <c r="G57">
        <v>-18762</v>
      </c>
      <c r="H57" s="3">
        <f>+Table1[[#This Row],[Revenue - Budget]]*13%</f>
        <v>79734.080204950951</v>
      </c>
    </row>
    <row r="58" spans="1:8" x14ac:dyDescent="0.35">
      <c r="A58" s="37">
        <v>46204</v>
      </c>
      <c r="B58" s="45">
        <v>270572.12552932667</v>
      </c>
      <c r="C58" s="45">
        <v>607367.30309716146</v>
      </c>
      <c r="D58" s="3">
        <v>17693.414959225298</v>
      </c>
      <c r="E58" s="3">
        <v>113534.99435233664</v>
      </c>
      <c r="F58" s="3">
        <v>205566.76825627283</v>
      </c>
      <c r="G58">
        <v>-18762</v>
      </c>
      <c r="H58" s="3">
        <f>+Table1[[#This Row],[Revenue - Budget]]*13%</f>
        <v>78957.749402630987</v>
      </c>
    </row>
    <row r="59" spans="1:8" x14ac:dyDescent="0.35">
      <c r="A59" s="37">
        <v>46235</v>
      </c>
      <c r="B59" s="45">
        <f>253561.240123729+1731</f>
        <v>255292.24012372899</v>
      </c>
      <c r="C59" s="45">
        <f>625115.340224942+3971</f>
        <v>629086.34022494196</v>
      </c>
      <c r="D59" s="3">
        <v>5440.9565489731494</v>
      </c>
      <c r="E59" s="3">
        <v>87258.189344966959</v>
      </c>
      <c r="F59" s="3">
        <v>278854.95420727337</v>
      </c>
      <c r="G59">
        <v>-18762</v>
      </c>
      <c r="H59" s="3">
        <f>+Table1[[#This Row],[Revenue - Budget]]*13%</f>
        <v>81781.224229242463</v>
      </c>
    </row>
    <row r="60" spans="1:8" x14ac:dyDescent="0.35">
      <c r="A60" s="37">
        <v>46266</v>
      </c>
      <c r="B60" s="45">
        <v>296722.46870205662</v>
      </c>
      <c r="C60" s="45">
        <v>656951.27559105563</v>
      </c>
      <c r="D60" s="3">
        <v>6210.4473313632507</v>
      </c>
      <c r="E60" s="3">
        <v>122779.69893350513</v>
      </c>
      <c r="F60" s="3">
        <v>231238.6606241306</v>
      </c>
      <c r="G60">
        <v>-18762</v>
      </c>
      <c r="H60" s="3">
        <f>+Table1[[#This Row],[Revenue - Budget]]*13%</f>
        <v>85403.665826837241</v>
      </c>
    </row>
    <row r="61" spans="1:8" x14ac:dyDescent="0.35">
      <c r="A61" s="37">
        <v>46296</v>
      </c>
      <c r="B61" s="45">
        <v>325530.57719243167</v>
      </c>
      <c r="C61" s="45">
        <v>693207.97442569595</v>
      </c>
      <c r="D61" s="3">
        <v>36468.592461558095</v>
      </c>
      <c r="E61" s="3">
        <v>114301.80451438166</v>
      </c>
      <c r="F61" s="3">
        <v>216907.00025732451</v>
      </c>
      <c r="G61">
        <v>-18762</v>
      </c>
      <c r="H61" s="3">
        <f>+Table1[[#This Row],[Revenue - Budget]]*13%</f>
        <v>90117.036675340481</v>
      </c>
    </row>
    <row r="62" spans="1:8" x14ac:dyDescent="0.35">
      <c r="A62" s="37">
        <v>46327</v>
      </c>
      <c r="B62" s="45">
        <v>323740.00627233752</v>
      </c>
      <c r="C62" s="45">
        <v>681957.84814942104</v>
      </c>
      <c r="D62" s="3">
        <v>5275.3726643314531</v>
      </c>
      <c r="E62" s="3">
        <v>131276.48244679146</v>
      </c>
      <c r="F62" s="3">
        <v>221665.98676596058</v>
      </c>
      <c r="G62">
        <v>-18762</v>
      </c>
      <c r="H62" s="3">
        <f>+Table1[[#This Row],[Revenue - Budget]]*13%</f>
        <v>88654.520259424738</v>
      </c>
    </row>
    <row r="63" spans="1:8" x14ac:dyDescent="0.35">
      <c r="A63" s="37">
        <v>46357</v>
      </c>
      <c r="B63" s="45">
        <v>325877.67804225854</v>
      </c>
      <c r="C63" s="45">
        <v>702539.94934423908</v>
      </c>
      <c r="D63" s="3">
        <v>5282.0848538632381</v>
      </c>
      <c r="E63" s="3">
        <v>134764.83899365214</v>
      </c>
      <c r="F63" s="3">
        <v>236615.34745446517</v>
      </c>
      <c r="G63">
        <v>-18762</v>
      </c>
      <c r="H63" s="3">
        <f>+Table1[[#This Row],[Revenue - Budget]]*13%</f>
        <v>91330.193414751076</v>
      </c>
    </row>
    <row r="64" spans="1:8" x14ac:dyDescent="0.35">
      <c r="A64" s="37">
        <v>46388</v>
      </c>
      <c r="B64" s="45">
        <v>274493.9445673243</v>
      </c>
      <c r="C64" s="45">
        <v>665961.74179421458</v>
      </c>
      <c r="D64" s="3">
        <v>20527.972369995059</v>
      </c>
      <c r="E64" s="3">
        <v>144402.7597759905</v>
      </c>
      <c r="F64" s="3">
        <v>226537.06508090469</v>
      </c>
      <c r="G64">
        <v>-18762</v>
      </c>
      <c r="H64" s="3">
        <f>+Table1[[#This Row],[Revenue - Budget]]*13%</f>
        <v>86575.026433247898</v>
      </c>
    </row>
    <row r="65" spans="1:8" x14ac:dyDescent="0.35">
      <c r="A65" s="37">
        <v>46419</v>
      </c>
      <c r="B65" s="45">
        <v>291970.49124600296</v>
      </c>
      <c r="C65" s="45">
        <v>631468.44034649665</v>
      </c>
      <c r="D65" s="3">
        <v>10989.211190516095</v>
      </c>
      <c r="E65" s="3">
        <v>112025.88734344578</v>
      </c>
      <c r="F65" s="3">
        <v>216482.85056653182</v>
      </c>
      <c r="G65">
        <v>-18762</v>
      </c>
      <c r="H65" s="3">
        <f>+Table1[[#This Row],[Revenue - Budget]]*13%</f>
        <v>82090.897245044573</v>
      </c>
    </row>
    <row r="66" spans="1:8" x14ac:dyDescent="0.35">
      <c r="A66" s="37">
        <v>46447</v>
      </c>
      <c r="B66" s="45">
        <v>329034.82761015592</v>
      </c>
      <c r="C66" s="45">
        <v>704030.83531300456</v>
      </c>
      <c r="D66" s="3">
        <v>9894.8426142740263</v>
      </c>
      <c r="E66" s="3">
        <v>130330.86421352193</v>
      </c>
      <c r="F66" s="3">
        <v>234770.30087505269</v>
      </c>
      <c r="G66">
        <v>-18762</v>
      </c>
      <c r="H66" s="3">
        <f>+Table1[[#This Row],[Revenue - Budget]]*13%</f>
        <v>91524.008590690602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416388BABE8044B38A29C5A6C94C7A" ma:contentTypeVersion="5" ma:contentTypeDescription="Create a new document." ma:contentTypeScope="" ma:versionID="f8a5c33eda4b58284ad85ddba2e31d0d">
  <xsd:schema xmlns:xsd="http://www.w3.org/2001/XMLSchema" xmlns:xs="http://www.w3.org/2001/XMLSchema" xmlns:p="http://schemas.microsoft.com/office/2006/metadata/properties" xmlns:ns3="563357ef-229a-410d-b15b-2ebb15b71e03" targetNamespace="http://schemas.microsoft.com/office/2006/metadata/properties" ma:root="true" ma:fieldsID="4aecd3385707b1bf185618d05e4d44ac" ns3:_="">
    <xsd:import namespace="563357ef-229a-410d-b15b-2ebb15b71e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357ef-229a-410d-b15b-2ebb15b71e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3357ef-229a-410d-b15b-2ebb15b71e03" xsi:nil="true"/>
  </documentManagement>
</p:properties>
</file>

<file path=customXml/itemProps1.xml><?xml version="1.0" encoding="utf-8"?>
<ds:datastoreItem xmlns:ds="http://schemas.openxmlformats.org/officeDocument/2006/customXml" ds:itemID="{81F105FE-42E0-4CE3-BC36-6C792834D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357ef-229a-410d-b15b-2ebb15b71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D4263A-20FE-42B3-B663-16C2D63D5D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90AD6C-05ED-4C97-BEB5-F93DBF30D19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63357ef-229a-410d-b15b-2ebb15b71e03"/>
    <ds:schemaRef ds:uri="http://www.w3.org/XML/1998/namespace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to B</vt:lpstr>
      <vt:lpstr>A to PY</vt:lpstr>
      <vt:lpstr>ACTUAL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Klimisch</dc:creator>
  <cp:lastModifiedBy>Sruthi Baskaran</cp:lastModifiedBy>
  <cp:lastPrinted>2024-08-22T19:32:18Z</cp:lastPrinted>
  <dcterms:created xsi:type="dcterms:W3CDTF">2023-09-25T18:18:10Z</dcterms:created>
  <dcterms:modified xsi:type="dcterms:W3CDTF">2026-09-18T15:50:03Z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d61e7-53fc-4f2e-9fa4-89136200e5cf_Enabled">
    <vt:lpwstr>true</vt:lpwstr>
  </property>
  <property fmtid="{D5CDD505-2E9C-101B-9397-08002B2CF9AE}" pid="3" name="MSIP_Label_fc6d61e7-53fc-4f2e-9fa4-89136200e5cf_SetDate">
    <vt:lpwstr>2023-09-25T18:19:58Z</vt:lpwstr>
  </property>
  <property fmtid="{D5CDD505-2E9C-101B-9397-08002B2CF9AE}" pid="4" name="MSIP_Label_fc6d61e7-53fc-4f2e-9fa4-89136200e5cf_Method">
    <vt:lpwstr>Standard</vt:lpwstr>
  </property>
  <property fmtid="{D5CDD505-2E9C-101B-9397-08002B2CF9AE}" pid="5" name="MSIP_Label_fc6d61e7-53fc-4f2e-9fa4-89136200e5cf_Name">
    <vt:lpwstr>defa4170-0d19-0005-0004-bc88714345d2</vt:lpwstr>
  </property>
  <property fmtid="{D5CDD505-2E9C-101B-9397-08002B2CF9AE}" pid="6" name="MSIP_Label_fc6d61e7-53fc-4f2e-9fa4-89136200e5cf_SiteId">
    <vt:lpwstr>08ceee3a-b3fb-445e-8bfa-68b3435b5a37</vt:lpwstr>
  </property>
  <property fmtid="{D5CDD505-2E9C-101B-9397-08002B2CF9AE}" pid="7" name="MSIP_Label_fc6d61e7-53fc-4f2e-9fa4-89136200e5cf_ActionId">
    <vt:lpwstr>30c07044-e8a5-471a-a6c4-7c59a731dbac</vt:lpwstr>
  </property>
  <property fmtid="{D5CDD505-2E9C-101B-9397-08002B2CF9AE}" pid="8" name="MSIP_Label_fc6d61e7-53fc-4f2e-9fa4-89136200e5cf_ContentBits">
    <vt:lpwstr>0</vt:lpwstr>
  </property>
  <property fmtid="{D5CDD505-2E9C-101B-9397-08002B2CF9AE}" pid="9" name="Jet Reports Function Literals">
    <vt:lpwstr>,	;	,	{	}	[@[{0}]]	1033</vt:lpwstr>
  </property>
  <property fmtid="{D5CDD505-2E9C-101B-9397-08002B2CF9AE}" pid="10" name="ContentTypeId">
    <vt:lpwstr>0x01010059416388BABE8044B38A29C5A6C94C7A</vt:lpwstr>
  </property>
</Properties>
</file>