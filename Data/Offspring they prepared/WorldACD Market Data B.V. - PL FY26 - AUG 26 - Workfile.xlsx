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Offspring Consulting\World ACD\AirT\Budget FY26_27\"/>
    </mc:Choice>
  </mc:AlternateContent>
  <xr:revisionPtr revIDLastSave="0" documentId="13_ncr:1_{2725E95B-929E-42A3-A75F-E23413D2F267}" xr6:coauthVersionLast="47" xr6:coauthVersionMax="47" xr10:uidLastSave="{00000000-0000-0000-0000-000000000000}"/>
  <bookViews>
    <workbookView xWindow="-108" yWindow="-108" windowWidth="23256" windowHeight="12456" activeTab="1" xr2:uid="{896597E0-1BE3-43CD-9BCC-0FE738E6F064}"/>
  </bookViews>
  <sheets>
    <sheet name="P&amp;L WACD" sheetId="4" r:id="rId1"/>
    <sheet name="Budget - Overview" sheetId="5" r:id="rId2"/>
    <sheet name="Budget - Ken" sheetId="6" state="hidden" r:id="rId3"/>
    <sheet name="Budget - Int &amp; Taxes" sheetId="9" r:id="rId4"/>
    <sheet name="Budget - Cost" sheetId="7" r:id="rId5"/>
  </sheets>
  <definedNames>
    <definedName name="_xlnm._FilterDatabase" localSheetId="0" hidden="1">'P&amp;L WACD'!$A$7:$BQ$113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9" l="1"/>
  <c r="N10" i="9"/>
  <c r="N9" i="9"/>
  <c r="O9" i="9" s="1"/>
  <c r="N8" i="9"/>
  <c r="Q8" i="9" s="1"/>
  <c r="N4" i="9"/>
  <c r="N3" i="9"/>
  <c r="O3" i="9" s="1"/>
  <c r="N2" i="9"/>
  <c r="Q2" i="9" s="1"/>
  <c r="N25" i="7"/>
  <c r="N26" i="7"/>
  <c r="N27" i="7"/>
  <c r="N20" i="7"/>
  <c r="N21" i="7"/>
  <c r="N22" i="7"/>
  <c r="N8" i="7"/>
  <c r="N9" i="7"/>
  <c r="N10" i="7"/>
  <c r="N16" i="7"/>
  <c r="N15" i="7"/>
  <c r="N14" i="7"/>
  <c r="N17" i="7" s="1"/>
  <c r="N5" i="7"/>
  <c r="N3" i="7"/>
  <c r="N4" i="7"/>
  <c r="N2" i="7"/>
  <c r="C25" i="7"/>
  <c r="D25" i="7"/>
  <c r="E25" i="7"/>
  <c r="F25" i="7"/>
  <c r="G25" i="7"/>
  <c r="H25" i="7"/>
  <c r="I25" i="7"/>
  <c r="J25" i="7"/>
  <c r="K25" i="7"/>
  <c r="L25" i="7"/>
  <c r="M25" i="7"/>
  <c r="C26" i="7"/>
  <c r="D26" i="7"/>
  <c r="E26" i="7"/>
  <c r="F26" i="7"/>
  <c r="G26" i="7"/>
  <c r="H26" i="7"/>
  <c r="I26" i="7"/>
  <c r="J26" i="7"/>
  <c r="K26" i="7"/>
  <c r="L26" i="7"/>
  <c r="M26" i="7"/>
  <c r="C27" i="7"/>
  <c r="D27" i="7"/>
  <c r="E27" i="7"/>
  <c r="F27" i="7"/>
  <c r="G27" i="7"/>
  <c r="H27" i="7"/>
  <c r="I27" i="7"/>
  <c r="J27" i="7"/>
  <c r="K27" i="7"/>
  <c r="L27" i="7"/>
  <c r="M27" i="7"/>
  <c r="B26" i="7"/>
  <c r="B27" i="7"/>
  <c r="B25" i="7"/>
  <c r="C20" i="7"/>
  <c r="D20" i="7"/>
  <c r="E20" i="7"/>
  <c r="F20" i="7"/>
  <c r="G20" i="7"/>
  <c r="H20" i="7"/>
  <c r="I20" i="7"/>
  <c r="J20" i="7"/>
  <c r="K20" i="7"/>
  <c r="L20" i="7"/>
  <c r="M20" i="7"/>
  <c r="C21" i="7"/>
  <c r="D21" i="7"/>
  <c r="E21" i="7"/>
  <c r="F21" i="7"/>
  <c r="G21" i="7"/>
  <c r="H21" i="7"/>
  <c r="I21" i="7"/>
  <c r="J21" i="7"/>
  <c r="K21" i="7"/>
  <c r="L21" i="7"/>
  <c r="M21" i="7"/>
  <c r="C22" i="7"/>
  <c r="D22" i="7"/>
  <c r="E22" i="7"/>
  <c r="F22" i="7"/>
  <c r="G22" i="7"/>
  <c r="H22" i="7"/>
  <c r="I22" i="7"/>
  <c r="J22" i="7"/>
  <c r="K22" i="7"/>
  <c r="L22" i="7"/>
  <c r="M22" i="7"/>
  <c r="B21" i="7"/>
  <c r="B22" i="7"/>
  <c r="B20" i="7"/>
  <c r="C8" i="7"/>
  <c r="D8" i="7"/>
  <c r="E8" i="7"/>
  <c r="F8" i="7"/>
  <c r="G8" i="7"/>
  <c r="H8" i="7"/>
  <c r="I8" i="7"/>
  <c r="J8" i="7"/>
  <c r="K8" i="7"/>
  <c r="L8" i="7"/>
  <c r="M8" i="7"/>
  <c r="C9" i="7"/>
  <c r="D9" i="7"/>
  <c r="E9" i="7"/>
  <c r="F9" i="7"/>
  <c r="G9" i="7"/>
  <c r="H9" i="7"/>
  <c r="I9" i="7"/>
  <c r="J9" i="7"/>
  <c r="K9" i="7"/>
  <c r="L9" i="7"/>
  <c r="M9" i="7"/>
  <c r="C10" i="7"/>
  <c r="D10" i="7"/>
  <c r="E10" i="7"/>
  <c r="F10" i="7"/>
  <c r="G10" i="7"/>
  <c r="H10" i="7"/>
  <c r="I10" i="7"/>
  <c r="J10" i="7"/>
  <c r="K10" i="7"/>
  <c r="L10" i="7"/>
  <c r="M10" i="7"/>
  <c r="B9" i="7"/>
  <c r="B10" i="7"/>
  <c r="B8" i="7"/>
  <c r="O16" i="6"/>
  <c r="O18" i="6" s="1"/>
  <c r="N16" i="6"/>
  <c r="N18" i="6" s="1"/>
  <c r="M16" i="6"/>
  <c r="M18" i="6" s="1"/>
  <c r="L16" i="6"/>
  <c r="L18" i="6" s="1"/>
  <c r="K16" i="6"/>
  <c r="K18" i="6" s="1"/>
  <c r="K24" i="6" s="1"/>
  <c r="K29" i="6" s="1"/>
  <c r="J16" i="6"/>
  <c r="J18" i="6" s="1"/>
  <c r="J24" i="6" s="1"/>
  <c r="J29" i="6" s="1"/>
  <c r="I16" i="6"/>
  <c r="I18" i="6" s="1"/>
  <c r="I24" i="6" s="1"/>
  <c r="I29" i="6" s="1"/>
  <c r="H16" i="6"/>
  <c r="H18" i="6" s="1"/>
  <c r="H24" i="6" s="1"/>
  <c r="H29" i="6" s="1"/>
  <c r="G16" i="6"/>
  <c r="G18" i="6" s="1"/>
  <c r="G24" i="6" s="1"/>
  <c r="G29" i="6" s="1"/>
  <c r="F16" i="6"/>
  <c r="F18" i="6" s="1"/>
  <c r="E16" i="6"/>
  <c r="E18" i="6" s="1"/>
  <c r="D16" i="6"/>
  <c r="W15" i="6"/>
  <c r="V15" i="6"/>
  <c r="U15" i="6"/>
  <c r="T15" i="6"/>
  <c r="P15" i="6"/>
  <c r="P14" i="6"/>
  <c r="V12" i="6"/>
  <c r="V13" i="6" s="1"/>
  <c r="U12" i="6"/>
  <c r="U13" i="6" s="1"/>
  <c r="K8" i="6"/>
  <c r="J8" i="6"/>
  <c r="I8" i="6"/>
  <c r="H8" i="6"/>
  <c r="G8" i="6"/>
  <c r="W6" i="6"/>
  <c r="W7" i="6" s="1"/>
  <c r="V6" i="6"/>
  <c r="V7" i="6" s="1"/>
  <c r="U6" i="6"/>
  <c r="U7" i="6" s="1"/>
  <c r="O6" i="6"/>
  <c r="O8" i="6" s="1"/>
  <c r="O24" i="6" s="1"/>
  <c r="O29" i="6" s="1"/>
  <c r="N6" i="6"/>
  <c r="N8" i="6" s="1"/>
  <c r="N24" i="6" s="1"/>
  <c r="N29" i="6" s="1"/>
  <c r="M6" i="6"/>
  <c r="M8" i="6" s="1"/>
  <c r="M24" i="6" s="1"/>
  <c r="M29" i="6" s="1"/>
  <c r="L6" i="6"/>
  <c r="K6" i="6"/>
  <c r="J6" i="6"/>
  <c r="I6" i="6"/>
  <c r="H6" i="6"/>
  <c r="G6" i="6"/>
  <c r="F6" i="6"/>
  <c r="F8" i="6" s="1"/>
  <c r="F24" i="6" s="1"/>
  <c r="F29" i="6" s="1"/>
  <c r="E6" i="6"/>
  <c r="E8" i="6" s="1"/>
  <c r="E24" i="6" s="1"/>
  <c r="E29" i="6" s="1"/>
  <c r="D6" i="6"/>
  <c r="D8" i="6" s="1"/>
  <c r="P5" i="6"/>
  <c r="P4" i="6"/>
  <c r="T15" i="5"/>
  <c r="N11" i="9" l="1"/>
  <c r="N5" i="9"/>
  <c r="P16" i="6"/>
  <c r="D18" i="6"/>
  <c r="D24" i="6" s="1"/>
  <c r="L8" i="6"/>
  <c r="L24" i="6" s="1"/>
  <c r="L29" i="6" s="1"/>
  <c r="P6" i="6"/>
  <c r="D29" i="6"/>
  <c r="P24" i="6"/>
  <c r="P29" i="6" s="1"/>
  <c r="T9" i="5" l="1"/>
  <c r="U7" i="5"/>
  <c r="U6" i="5"/>
  <c r="BF12" i="4"/>
  <c r="BF18" i="4"/>
  <c r="BF17" i="4"/>
  <c r="BF16" i="4"/>
  <c r="BF15" i="4"/>
  <c r="BF14" i="4"/>
  <c r="BF13" i="4"/>
  <c r="BJ21" i="4"/>
  <c r="BJ62" i="4"/>
  <c r="BF84" i="4"/>
  <c r="BF83" i="4"/>
  <c r="BF44" i="4"/>
  <c r="BF80" i="4"/>
  <c r="BF79" i="4"/>
  <c r="BF42" i="4"/>
  <c r="BF43" i="4"/>
  <c r="BF78" i="4"/>
  <c r="BF41" i="4"/>
  <c r="BJ77" i="4"/>
  <c r="BF40" i="4"/>
  <c r="BF39" i="4"/>
  <c r="BF37" i="4"/>
  <c r="BF38" i="4"/>
  <c r="BF96" i="4"/>
  <c r="BF76" i="4"/>
  <c r="BJ34" i="4"/>
  <c r="BF95" i="4"/>
  <c r="BJ35" i="4"/>
  <c r="BF36" i="4"/>
  <c r="BF94" i="4"/>
  <c r="BF93" i="4"/>
  <c r="BJ33" i="4"/>
  <c r="BF32" i="4"/>
  <c r="BF31" i="4"/>
  <c r="BF30" i="4"/>
  <c r="BF92" i="4"/>
  <c r="BF29" i="4"/>
  <c r="BF53" i="4"/>
  <c r="BF91" i="4"/>
  <c r="BF26" i="4"/>
  <c r="BF28" i="4"/>
  <c r="BJ90" i="4"/>
  <c r="BF27" i="4"/>
  <c r="BJ88" i="4"/>
  <c r="BJ89" i="4"/>
  <c r="BF99" i="4"/>
  <c r="BJ59" i="4"/>
  <c r="BF58" i="4"/>
  <c r="BF57" i="4"/>
  <c r="BF72" i="4"/>
  <c r="BF55" i="4"/>
  <c r="BJ73" i="4"/>
  <c r="BJ56" i="4"/>
  <c r="BF70" i="4"/>
  <c r="BF71" i="4"/>
  <c r="BF69" i="4"/>
  <c r="BF50" i="4"/>
  <c r="BF68" i="4"/>
  <c r="BF49" i="4"/>
  <c r="BJ47" i="4"/>
  <c r="BF67" i="4"/>
  <c r="BF66" i="4"/>
  <c r="BF65" i="4"/>
  <c r="BF64" i="4"/>
  <c r="BF85" i="4"/>
  <c r="BJ48" i="4"/>
  <c r="BE63" i="4"/>
  <c r="BD63" i="4"/>
  <c r="BJ54" i="4"/>
  <c r="BE45" i="4" l="1"/>
  <c r="BE51" i="4"/>
  <c r="BE60" i="4"/>
  <c r="BE74" i="4"/>
  <c r="BE81" i="4"/>
  <c r="BE86" i="4"/>
  <c r="BE97" i="4"/>
  <c r="BE19" i="4"/>
  <c r="BE22" i="4"/>
  <c r="BE100" i="4"/>
  <c r="BF73" i="4"/>
  <c r="BJ72" i="4"/>
  <c r="BJ78" i="4"/>
  <c r="BF21" i="4"/>
  <c r="BJ37" i="4"/>
  <c r="BF35" i="4"/>
  <c r="BJ38" i="4"/>
  <c r="BF56" i="4"/>
  <c r="BF62" i="4"/>
  <c r="BJ64" i="4"/>
  <c r="BF77" i="4"/>
  <c r="BF88" i="4"/>
  <c r="BF89" i="4"/>
  <c r="BF90" i="4"/>
  <c r="BJ91" i="4"/>
  <c r="BJ92" i="4"/>
  <c r="BJ12" i="4"/>
  <c r="BJ93" i="4"/>
  <c r="BJ26" i="4"/>
  <c r="BJ94" i="4"/>
  <c r="BF33" i="4"/>
  <c r="BF59" i="4"/>
  <c r="BJ36" i="4"/>
  <c r="BJ49" i="4"/>
  <c r="BJ76" i="4"/>
  <c r="BF34" i="4"/>
  <c r="BF47" i="4"/>
  <c r="BJ50" i="4"/>
  <c r="BF48" i="4"/>
  <c r="BJ65" i="4"/>
  <c r="BJ27" i="4"/>
  <c r="BJ39" i="4"/>
  <c r="BJ53" i="4"/>
  <c r="BJ66" i="4"/>
  <c r="BJ79" i="4"/>
  <c r="BJ13" i="4"/>
  <c r="BJ28" i="4"/>
  <c r="BJ40" i="4"/>
  <c r="BJ67" i="4"/>
  <c r="BJ80" i="4"/>
  <c r="BJ14" i="4"/>
  <c r="BJ29" i="4"/>
  <c r="BJ41" i="4"/>
  <c r="BJ55" i="4"/>
  <c r="BJ68" i="4"/>
  <c r="BJ95" i="4"/>
  <c r="BJ15" i="4"/>
  <c r="BJ30" i="4"/>
  <c r="BJ42" i="4"/>
  <c r="BJ69" i="4"/>
  <c r="BJ83" i="4"/>
  <c r="BJ96" i="4"/>
  <c r="BJ16" i="4"/>
  <c r="BJ31" i="4"/>
  <c r="BJ43" i="4"/>
  <c r="BJ57" i="4"/>
  <c r="BJ70" i="4"/>
  <c r="BJ84" i="4"/>
  <c r="BJ17" i="4"/>
  <c r="BJ32" i="4"/>
  <c r="BJ44" i="4"/>
  <c r="BJ58" i="4"/>
  <c r="BJ71" i="4"/>
  <c r="BJ85" i="4"/>
  <c r="BJ99" i="4"/>
  <c r="BJ18" i="4"/>
  <c r="BD45" i="4"/>
  <c r="BD51" i="4"/>
  <c r="BD60" i="4"/>
  <c r="BD74" i="4"/>
  <c r="BD81" i="4"/>
  <c r="BD86" i="4"/>
  <c r="BD97" i="4"/>
  <c r="BD100" i="4"/>
  <c r="BD19" i="4"/>
  <c r="BD22" i="4"/>
  <c r="H9" i="5" l="1"/>
  <c r="G9" i="5"/>
  <c r="BE23" i="4"/>
  <c r="BE101" i="4"/>
  <c r="BD23" i="4"/>
  <c r="BD101" i="4"/>
  <c r="BA100" i="4"/>
  <c r="BC63" i="4"/>
  <c r="BE102" i="4" l="1"/>
  <c r="BE105" i="4" s="1"/>
  <c r="BE107" i="4" s="1"/>
  <c r="BD102" i="4"/>
  <c r="BC60" i="4"/>
  <c r="BC100" i="4"/>
  <c r="BB100" i="4"/>
  <c r="BC81" i="4"/>
  <c r="BC86" i="4"/>
  <c r="BC45" i="4"/>
  <c r="BC97" i="4"/>
  <c r="BC19" i="4"/>
  <c r="BC22" i="4"/>
  <c r="BC51" i="4"/>
  <c r="BC74" i="4"/>
  <c r="F9" i="5" l="1"/>
  <c r="BJ100" i="4"/>
  <c r="BD105" i="4"/>
  <c r="BD107" i="4" s="1"/>
  <c r="BC101" i="4"/>
  <c r="BC23" i="4"/>
  <c r="BC102" i="4" l="1"/>
  <c r="BC105" i="4" s="1"/>
  <c r="BC107" i="4" s="1"/>
  <c r="BB63" i="4"/>
  <c r="BB22" i="4"/>
  <c r="BA63" i="4"/>
  <c r="BA22" i="4"/>
  <c r="AY81" i="4"/>
  <c r="AZ81" i="4"/>
  <c r="AX81" i="4"/>
  <c r="BK12" i="4"/>
  <c r="BK99" i="4"/>
  <c r="BK96" i="4"/>
  <c r="BK95" i="4"/>
  <c r="BK94" i="4"/>
  <c r="BK93" i="4"/>
  <c r="BK92" i="4"/>
  <c r="BK91" i="4"/>
  <c r="BK90" i="4"/>
  <c r="BK89" i="4"/>
  <c r="BK88" i="4"/>
  <c r="BK85" i="4"/>
  <c r="BK84" i="4"/>
  <c r="BK83" i="4"/>
  <c r="BK80" i="4"/>
  <c r="BK79" i="4"/>
  <c r="BK78" i="4"/>
  <c r="BK77" i="4"/>
  <c r="BK73" i="4"/>
  <c r="BK72" i="4"/>
  <c r="BK71" i="4"/>
  <c r="BK70" i="4"/>
  <c r="BK69" i="4"/>
  <c r="BK68" i="4"/>
  <c r="BK67" i="4"/>
  <c r="BK66" i="4"/>
  <c r="BK65" i="4"/>
  <c r="BK64" i="4"/>
  <c r="BK62" i="4"/>
  <c r="BK59" i="4"/>
  <c r="BK58" i="4"/>
  <c r="BK57" i="4"/>
  <c r="BK56" i="4"/>
  <c r="BK55" i="4"/>
  <c r="BK53" i="4"/>
  <c r="BK50" i="4"/>
  <c r="BK49" i="4"/>
  <c r="BK48" i="4"/>
  <c r="BK76" i="4"/>
  <c r="BK47" i="4"/>
  <c r="BK44" i="4"/>
  <c r="BK43" i="4"/>
  <c r="BK42" i="4"/>
  <c r="BK41" i="4"/>
  <c r="BK40" i="4"/>
  <c r="BK39" i="4"/>
  <c r="BK38" i="4"/>
  <c r="BK37" i="4"/>
  <c r="BK36" i="4"/>
  <c r="BK35" i="4"/>
  <c r="BK34" i="4"/>
  <c r="BK33" i="4"/>
  <c r="BK32" i="4"/>
  <c r="BK31" i="4"/>
  <c r="BK30" i="4"/>
  <c r="BK29" i="4"/>
  <c r="BK28" i="4"/>
  <c r="BK27" i="4"/>
  <c r="BK26" i="4"/>
  <c r="BK21" i="4"/>
  <c r="BK18" i="4"/>
  <c r="BK17" i="4"/>
  <c r="BK16" i="4"/>
  <c r="BK15" i="4"/>
  <c r="BK14" i="4"/>
  <c r="BK13" i="4"/>
  <c r="AZ22" i="4"/>
  <c r="AY22" i="4"/>
  <c r="BJ63" i="4" l="1"/>
  <c r="BJ22" i="4"/>
  <c r="BB97" i="4"/>
  <c r="BB51" i="4"/>
  <c r="BB81" i="4"/>
  <c r="BB60" i="4"/>
  <c r="BB74" i="4"/>
  <c r="BB86" i="4"/>
  <c r="BB45" i="4"/>
  <c r="BB19" i="4"/>
  <c r="BA86" i="4"/>
  <c r="BJ86" i="4" s="1"/>
  <c r="BA60" i="4"/>
  <c r="BA81" i="4"/>
  <c r="BA19" i="4"/>
  <c r="BA51" i="4"/>
  <c r="BA74" i="4"/>
  <c r="BA97" i="4"/>
  <c r="BA45" i="4"/>
  <c r="AZ100" i="4"/>
  <c r="AZ86" i="4"/>
  <c r="AZ63" i="4"/>
  <c r="AZ60" i="4"/>
  <c r="AY100" i="4"/>
  <c r="AY63" i="4"/>
  <c r="AY51" i="4"/>
  <c r="BB23" i="4" l="1"/>
  <c r="E9" i="5"/>
  <c r="D9" i="5"/>
  <c r="BJ81" i="4"/>
  <c r="BJ60" i="4"/>
  <c r="BJ97" i="4"/>
  <c r="BJ45" i="4"/>
  <c r="BJ74" i="4"/>
  <c r="BJ51" i="4"/>
  <c r="BJ19" i="4"/>
  <c r="BF81" i="4"/>
  <c r="BB101" i="4"/>
  <c r="BA23" i="4"/>
  <c r="BA101" i="4"/>
  <c r="AY97" i="4"/>
  <c r="AY74" i="4"/>
  <c r="AZ74" i="4"/>
  <c r="AZ97" i="4"/>
  <c r="AX19" i="4"/>
  <c r="AY86" i="4"/>
  <c r="AZ51" i="4"/>
  <c r="AY19" i="4"/>
  <c r="AY45" i="4"/>
  <c r="AY60" i="4"/>
  <c r="AZ19" i="4"/>
  <c r="AZ45" i="4"/>
  <c r="BJ23" i="4" l="1"/>
  <c r="BB102" i="4"/>
  <c r="BB105" i="4" s="1"/>
  <c r="BB107" i="4" s="1"/>
  <c r="AY23" i="4"/>
  <c r="AZ23" i="4"/>
  <c r="BJ101" i="4"/>
  <c r="BF19" i="4"/>
  <c r="BA102" i="4"/>
  <c r="BJ102" i="4" s="1"/>
  <c r="AY101" i="4"/>
  <c r="AY102" i="4" s="1"/>
  <c r="AZ101" i="4"/>
  <c r="AT100" i="4"/>
  <c r="AX63" i="4"/>
  <c r="BF63" i="4" s="1"/>
  <c r="AW63" i="4"/>
  <c r="AV63" i="4"/>
  <c r="AU63" i="4"/>
  <c r="AS63" i="4"/>
  <c r="AR63" i="4"/>
  <c r="AW54" i="4"/>
  <c r="AU54" i="4"/>
  <c r="AT54" i="4"/>
  <c r="AS54" i="4"/>
  <c r="AR54" i="4"/>
  <c r="AX22" i="4"/>
  <c r="BF22" i="4" s="1"/>
  <c r="AW22" i="4"/>
  <c r="AV22" i="4"/>
  <c r="AU22" i="4"/>
  <c r="AR22" i="4"/>
  <c r="BH76" i="4"/>
  <c r="BI76" i="4"/>
  <c r="BL76" i="4"/>
  <c r="AW100" i="4"/>
  <c r="AT63" i="4"/>
  <c r="AV54" i="4"/>
  <c r="AT22" i="4"/>
  <c r="AS22" i="4"/>
  <c r="AV100" i="4"/>
  <c r="AU100" i="4"/>
  <c r="AS100" i="4"/>
  <c r="BL32" i="4"/>
  <c r="BH32" i="4"/>
  <c r="BL17" i="4"/>
  <c r="BH17" i="4"/>
  <c r="AZ102" i="4" l="1"/>
  <c r="AZ105" i="4" s="1"/>
  <c r="AZ107" i="4" s="1"/>
  <c r="BJ105" i="4"/>
  <c r="BA105" i="4"/>
  <c r="BA107" i="4" s="1"/>
  <c r="AY105" i="4"/>
  <c r="AY107" i="4" s="1"/>
  <c r="AX23" i="4"/>
  <c r="BF23" i="4" s="1"/>
  <c r="AX97" i="4"/>
  <c r="BF97" i="4" s="1"/>
  <c r="BG76" i="4"/>
  <c r="AX86" i="4"/>
  <c r="BF86" i="4" s="1"/>
  <c r="AX60" i="4"/>
  <c r="BF60" i="4" s="1"/>
  <c r="AX51" i="4"/>
  <c r="BF51" i="4" s="1"/>
  <c r="AX100" i="4"/>
  <c r="BF100" i="4" s="1"/>
  <c r="AX54" i="4"/>
  <c r="BF54" i="4" s="1"/>
  <c r="AX74" i="4"/>
  <c r="BF74" i="4" s="1"/>
  <c r="AX45" i="4"/>
  <c r="BF45" i="4" s="1"/>
  <c r="AW51" i="4"/>
  <c r="AW97" i="4"/>
  <c r="AU45" i="4"/>
  <c r="AW81" i="4"/>
  <c r="AW86" i="4"/>
  <c r="AW74" i="4"/>
  <c r="AW60" i="4"/>
  <c r="BG32" i="4"/>
  <c r="AV51" i="4"/>
  <c r="AW19" i="4"/>
  <c r="BG99" i="4"/>
  <c r="AW45" i="4"/>
  <c r="BG38" i="4"/>
  <c r="BG57" i="4"/>
  <c r="BG91" i="4"/>
  <c r="BG67" i="4"/>
  <c r="BG77" i="4"/>
  <c r="BG13" i="4"/>
  <c r="BG16" i="4"/>
  <c r="BG35" i="4"/>
  <c r="BG88" i="4"/>
  <c r="BG15" i="4"/>
  <c r="BG53" i="4"/>
  <c r="BG71" i="4"/>
  <c r="BG90" i="4"/>
  <c r="BG40" i="4"/>
  <c r="BG44" i="4"/>
  <c r="BG66" i="4"/>
  <c r="BG83" i="4"/>
  <c r="BG12" i="4"/>
  <c r="BG27" i="4"/>
  <c r="BG58" i="4"/>
  <c r="BG72" i="4"/>
  <c r="BG89" i="4"/>
  <c r="BG48" i="4"/>
  <c r="BG68" i="4"/>
  <c r="BG28" i="4"/>
  <c r="BG59" i="4"/>
  <c r="BG70" i="4"/>
  <c r="BG94" i="4"/>
  <c r="BG43" i="4"/>
  <c r="BG56" i="4"/>
  <c r="BG93" i="4"/>
  <c r="BG39" i="4"/>
  <c r="BG92" i="4"/>
  <c r="BG36" i="4"/>
  <c r="BG50" i="4"/>
  <c r="BG78" i="4"/>
  <c r="BG30" i="4"/>
  <c r="BG41" i="4"/>
  <c r="BG62" i="4"/>
  <c r="BG79" i="4"/>
  <c r="BG95" i="4"/>
  <c r="BG85" i="4"/>
  <c r="BG26" i="4"/>
  <c r="BG65" i="4"/>
  <c r="BG80" i="4"/>
  <c r="BG96" i="4"/>
  <c r="BG17" i="4"/>
  <c r="BG33" i="4"/>
  <c r="BG18" i="4"/>
  <c r="BG34" i="4"/>
  <c r="BG47" i="4"/>
  <c r="BG84" i="4"/>
  <c r="BG31" i="4"/>
  <c r="BG37" i="4"/>
  <c r="BG69" i="4"/>
  <c r="BG29" i="4"/>
  <c r="BG49" i="4"/>
  <c r="BG14" i="4"/>
  <c r="BG42" i="4"/>
  <c r="BG73" i="4"/>
  <c r="BG21" i="4"/>
  <c r="AV19" i="4"/>
  <c r="AV86" i="4"/>
  <c r="AV60" i="4"/>
  <c r="AV97" i="4"/>
  <c r="AU97" i="4"/>
  <c r="AV45" i="4"/>
  <c r="AV74" i="4"/>
  <c r="AV81" i="4"/>
  <c r="AU81" i="4"/>
  <c r="AU86" i="4"/>
  <c r="AU19" i="4"/>
  <c r="AU51" i="4"/>
  <c r="AR100" i="4"/>
  <c r="AT74" i="4"/>
  <c r="AU74" i="4"/>
  <c r="AU60" i="4"/>
  <c r="AT81" i="4"/>
  <c r="AT60" i="4"/>
  <c r="AR74" i="4"/>
  <c r="AS74" i="4"/>
  <c r="AT97" i="4"/>
  <c r="AT86" i="4"/>
  <c r="AT19" i="4"/>
  <c r="AR97" i="4"/>
  <c r="AT51" i="4"/>
  <c r="AT45" i="4"/>
  <c r="AS97" i="4"/>
  <c r="AS60" i="4"/>
  <c r="AS51" i="4"/>
  <c r="AS81" i="4"/>
  <c r="AR81" i="4"/>
  <c r="AS45" i="4"/>
  <c r="AS86" i="4"/>
  <c r="AS19" i="4"/>
  <c r="AR19" i="4"/>
  <c r="AR86" i="4"/>
  <c r="AR51" i="4"/>
  <c r="AR60" i="4"/>
  <c r="AR45" i="4"/>
  <c r="AO100" i="4"/>
  <c r="AP100" i="4"/>
  <c r="AQ100" i="4"/>
  <c r="AO97" i="4"/>
  <c r="AP97" i="4"/>
  <c r="AQ97" i="4"/>
  <c r="AO86" i="4"/>
  <c r="AP86" i="4"/>
  <c r="AQ86" i="4"/>
  <c r="AO81" i="4"/>
  <c r="AP81" i="4"/>
  <c r="AQ81" i="4"/>
  <c r="AO74" i="4"/>
  <c r="AP74" i="4"/>
  <c r="AQ74" i="4"/>
  <c r="AO63" i="4"/>
  <c r="AP63" i="4"/>
  <c r="AQ63" i="4"/>
  <c r="AO60" i="4"/>
  <c r="AP60" i="4"/>
  <c r="AQ60" i="4"/>
  <c r="AO54" i="4"/>
  <c r="AP54" i="4"/>
  <c r="AQ54" i="4"/>
  <c r="AO51" i="4"/>
  <c r="AP51" i="4"/>
  <c r="AQ51" i="4"/>
  <c r="AO45" i="4"/>
  <c r="AP45" i="4"/>
  <c r="AQ45" i="4"/>
  <c r="AO22" i="4"/>
  <c r="AP22" i="4"/>
  <c r="AQ22" i="4"/>
  <c r="AO19" i="4"/>
  <c r="AP19" i="4"/>
  <c r="AQ19" i="4"/>
  <c r="AW23" i="4" l="1"/>
  <c r="AW6" i="4"/>
  <c r="L5" i="5" s="1"/>
  <c r="AV23" i="4"/>
  <c r="AV6" i="4"/>
  <c r="K5" i="5" s="1"/>
  <c r="AU23" i="4"/>
  <c r="AU6" i="4"/>
  <c r="J5" i="5" s="1"/>
  <c r="AT23" i="4"/>
  <c r="AT6" i="4"/>
  <c r="I5" i="5" s="1"/>
  <c r="AS23" i="4"/>
  <c r="AS6" i="4"/>
  <c r="H5" i="5" s="1"/>
  <c r="AR23" i="4"/>
  <c r="AR6" i="4"/>
  <c r="G5" i="5" s="1"/>
  <c r="H12" i="5"/>
  <c r="W5" i="5"/>
  <c r="AO6" i="4"/>
  <c r="D5" i="5" s="1"/>
  <c r="E12" i="5"/>
  <c r="AX6" i="4"/>
  <c r="M5" i="5" s="1"/>
  <c r="AY6" i="4"/>
  <c r="N5" i="5" s="1"/>
  <c r="AZ6" i="4"/>
  <c r="O5" i="5" s="1"/>
  <c r="AP6" i="4"/>
  <c r="E5" i="5" s="1"/>
  <c r="F12" i="5"/>
  <c r="AQ6" i="4"/>
  <c r="F5" i="5" s="1"/>
  <c r="G12" i="5"/>
  <c r="BK19" i="4"/>
  <c r="BK100" i="4"/>
  <c r="BK97" i="4"/>
  <c r="BK81" i="4"/>
  <c r="BK86" i="4"/>
  <c r="BK74" i="4"/>
  <c r="BK63" i="4"/>
  <c r="BK60" i="4"/>
  <c r="BK54" i="4"/>
  <c r="BK51" i="4"/>
  <c r="BK45" i="4"/>
  <c r="BK22" i="4"/>
  <c r="AX101" i="4"/>
  <c r="BF101" i="4" s="1"/>
  <c r="AW101" i="4"/>
  <c r="AV101" i="4"/>
  <c r="AU101" i="4"/>
  <c r="AT101" i="4"/>
  <c r="AS101" i="4"/>
  <c r="AR101" i="4"/>
  <c r="AQ101" i="4"/>
  <c r="AQ23" i="4"/>
  <c r="AP101" i="4"/>
  <c r="AO23" i="4"/>
  <c r="AP23" i="4"/>
  <c r="AT102" i="4" l="1"/>
  <c r="AT105" i="4" s="1"/>
  <c r="AT107" i="4" s="1"/>
  <c r="AU102" i="4"/>
  <c r="AU105" i="4" s="1"/>
  <c r="AU107" i="4" s="1"/>
  <c r="AS102" i="4"/>
  <c r="AS105" i="4" s="1"/>
  <c r="AS107" i="4" s="1"/>
  <c r="H19" i="5" s="1"/>
  <c r="H25" i="5" s="1"/>
  <c r="H30" i="5" s="1"/>
  <c r="AW102" i="4"/>
  <c r="AW105" i="4" s="1"/>
  <c r="AW107" i="4" s="1"/>
  <c r="AV102" i="4"/>
  <c r="AV105" i="4" s="1"/>
  <c r="AV107" i="4" s="1"/>
  <c r="AR102" i="4"/>
  <c r="AR105" i="4" s="1"/>
  <c r="AR107" i="4" s="1"/>
  <c r="G19" i="5" s="1"/>
  <c r="G25" i="5" s="1"/>
  <c r="G30" i="5" s="1"/>
  <c r="X5" i="5"/>
  <c r="P5" i="5"/>
  <c r="BK23" i="4"/>
  <c r="AX102" i="4"/>
  <c r="BF102" i="4" s="1"/>
  <c r="AQ102" i="4"/>
  <c r="AQ105" i="4" s="1"/>
  <c r="AQ107" i="4" s="1"/>
  <c r="AP102" i="4"/>
  <c r="AP105" i="4" s="1"/>
  <c r="AP107" i="4" s="1"/>
  <c r="BL99" i="4"/>
  <c r="BH54" i="4"/>
  <c r="AO101" i="4"/>
  <c r="BK101" i="4" s="1"/>
  <c r="BI88" i="4"/>
  <c r="AM54" i="4"/>
  <c r="AN54" i="4"/>
  <c r="AL54" i="4"/>
  <c r="X7" i="5" l="1"/>
  <c r="X11" i="5"/>
  <c r="F19" i="5"/>
  <c r="F25" i="5" s="1"/>
  <c r="F30" i="5" s="1"/>
  <c r="E19" i="5"/>
  <c r="E25" i="5" s="1"/>
  <c r="E30" i="5" s="1"/>
  <c r="BF105" i="4"/>
  <c r="AX105" i="4"/>
  <c r="AX107" i="4" s="1"/>
  <c r="BG54" i="4"/>
  <c r="AO102" i="4"/>
  <c r="BK102" i="4" s="1"/>
  <c r="AN100" i="4"/>
  <c r="BL95" i="4"/>
  <c r="BL88" i="4"/>
  <c r="AN86" i="4"/>
  <c r="AN81" i="4"/>
  <c r="BL71" i="4"/>
  <c r="BL68" i="4"/>
  <c r="BL62" i="4"/>
  <c r="AN60" i="4"/>
  <c r="BL53" i="4"/>
  <c r="BL48" i="4"/>
  <c r="AN51" i="4"/>
  <c r="BL41" i="4"/>
  <c r="BL40" i="4"/>
  <c r="BL39" i="4"/>
  <c r="BL34" i="4"/>
  <c r="AN45" i="4"/>
  <c r="AN19" i="4"/>
  <c r="AN22" i="4"/>
  <c r="AN63" i="4"/>
  <c r="BL92" i="4"/>
  <c r="BL54" i="4"/>
  <c r="BI31" i="4"/>
  <c r="BM31" i="4"/>
  <c r="BN31" i="4"/>
  <c r="BO31" i="4"/>
  <c r="AO105" i="4" l="1"/>
  <c r="AN97" i="4"/>
  <c r="BL69" i="4"/>
  <c r="BL65" i="4"/>
  <c r="BL66" i="4"/>
  <c r="AN74" i="4"/>
  <c r="BL67" i="4"/>
  <c r="BL96" i="4"/>
  <c r="BL50" i="4"/>
  <c r="BL28" i="4"/>
  <c r="BL70" i="4"/>
  <c r="BL14" i="4"/>
  <c r="BL15" i="4"/>
  <c r="BL16" i="4"/>
  <c r="BL18" i="4"/>
  <c r="BL21" i="4"/>
  <c r="BL26" i="4"/>
  <c r="BL27" i="4"/>
  <c r="BL29" i="4"/>
  <c r="BL30" i="4"/>
  <c r="BH31" i="4"/>
  <c r="BL33" i="4"/>
  <c r="BL42" i="4"/>
  <c r="BL43" i="4"/>
  <c r="BL44" i="4"/>
  <c r="BL36" i="4"/>
  <c r="BL38" i="4"/>
  <c r="BL72" i="4"/>
  <c r="BL77" i="4"/>
  <c r="BL80" i="4"/>
  <c r="BL83" i="4"/>
  <c r="BL84" i="4"/>
  <c r="BL85" i="4"/>
  <c r="BL13" i="4"/>
  <c r="BL47" i="4"/>
  <c r="BL31" i="4"/>
  <c r="BL35" i="4"/>
  <c r="BL37" i="4"/>
  <c r="BL49" i="4"/>
  <c r="BL73" i="4"/>
  <c r="BL79" i="4"/>
  <c r="BL56" i="4"/>
  <c r="BL57" i="4"/>
  <c r="BL58" i="4"/>
  <c r="BL59" i="4"/>
  <c r="BL89" i="4"/>
  <c r="BL90" i="4"/>
  <c r="BL91" i="4"/>
  <c r="BL94" i="4"/>
  <c r="BL78" i="4"/>
  <c r="BL93" i="4"/>
  <c r="AN23" i="4"/>
  <c r="BL12" i="4"/>
  <c r="AM100" i="4"/>
  <c r="AM97" i="4"/>
  <c r="AM86" i="4"/>
  <c r="AM81" i="4"/>
  <c r="AM74" i="4"/>
  <c r="AM63" i="4"/>
  <c r="AM60" i="4"/>
  <c r="AM51" i="4"/>
  <c r="AM45" i="4"/>
  <c r="AM22" i="4"/>
  <c r="AM19" i="4"/>
  <c r="BH13" i="4"/>
  <c r="BH14" i="4"/>
  <c r="BH15" i="4"/>
  <c r="BH16" i="4"/>
  <c r="BH18" i="4"/>
  <c r="W11" i="5" l="1"/>
  <c r="AO107" i="4"/>
  <c r="AN101" i="4"/>
  <c r="AN102" i="4" s="1"/>
  <c r="AN105" i="4" s="1"/>
  <c r="AN107" i="4" s="1"/>
  <c r="AM101" i="4"/>
  <c r="AM23" i="4"/>
  <c r="BH96" i="4"/>
  <c r="BH93" i="4"/>
  <c r="BH85" i="4"/>
  <c r="BH66" i="4"/>
  <c r="BH27" i="4"/>
  <c r="AL100" i="4"/>
  <c r="BG100" i="4" s="1"/>
  <c r="AL86" i="4"/>
  <c r="BG86" i="4" s="1"/>
  <c r="AL63" i="4"/>
  <c r="BG63" i="4" s="1"/>
  <c r="AL51" i="4"/>
  <c r="BG51" i="4" s="1"/>
  <c r="AL22" i="4"/>
  <c r="BG22" i="4" s="1"/>
  <c r="BH59" i="4"/>
  <c r="BH47" i="4"/>
  <c r="BH33" i="4"/>
  <c r="BH91" i="4"/>
  <c r="AK86" i="4"/>
  <c r="BH79" i="4"/>
  <c r="BH29" i="4"/>
  <c r="BH99" i="4"/>
  <c r="BH94" i="4"/>
  <c r="BH89" i="4"/>
  <c r="BH73" i="4"/>
  <c r="BH36" i="4"/>
  <c r="BH30" i="4"/>
  <c r="AK100" i="4"/>
  <c r="BI67" i="4"/>
  <c r="BM67" i="4"/>
  <c r="BN67" i="4"/>
  <c r="BO67" i="4"/>
  <c r="AJ100" i="4"/>
  <c r="AJ22" i="4"/>
  <c r="W9" i="5" l="1"/>
  <c r="W15" i="5"/>
  <c r="AX108" i="4"/>
  <c r="M15" i="5" s="1"/>
  <c r="AQ108" i="4"/>
  <c r="F15" i="5" s="1"/>
  <c r="AP108" i="4"/>
  <c r="E15" i="5" s="1"/>
  <c r="AR108" i="4"/>
  <c r="G15" i="5" s="1"/>
  <c r="AS108" i="4"/>
  <c r="H15" i="5" s="1"/>
  <c r="AT108" i="4"/>
  <c r="I15" i="5" s="1"/>
  <c r="AO108" i="4"/>
  <c r="D15" i="5" s="1"/>
  <c r="D19" i="5"/>
  <c r="D25" i="5" s="1"/>
  <c r="D30" i="5" s="1"/>
  <c r="AZ108" i="4"/>
  <c r="O15" i="5" s="1"/>
  <c r="AY108" i="4"/>
  <c r="N15" i="5" s="1"/>
  <c r="AU108" i="4"/>
  <c r="J15" i="5" s="1"/>
  <c r="AV108" i="4"/>
  <c r="K15" i="5" s="1"/>
  <c r="AW108" i="4"/>
  <c r="L15" i="5" s="1"/>
  <c r="AM102" i="4"/>
  <c r="AM105" i="4" s="1"/>
  <c r="AM107" i="4" s="1"/>
  <c r="AL97" i="4"/>
  <c r="BG97" i="4" s="1"/>
  <c r="BH80" i="4"/>
  <c r="AL60" i="4"/>
  <c r="BG60" i="4" s="1"/>
  <c r="AL74" i="4"/>
  <c r="BG74" i="4" s="1"/>
  <c r="AL45" i="4"/>
  <c r="BG45" i="4" s="1"/>
  <c r="AL81" i="4"/>
  <c r="BG81" i="4" s="1"/>
  <c r="AL19" i="4"/>
  <c r="BH69" i="4"/>
  <c r="BH84" i="4"/>
  <c r="BH50" i="4"/>
  <c r="BH70" i="4"/>
  <c r="AK81" i="4"/>
  <c r="BH90" i="4"/>
  <c r="BH72" i="4"/>
  <c r="BH65" i="4"/>
  <c r="BH49" i="4"/>
  <c r="BH37" i="4"/>
  <c r="BH35" i="4"/>
  <c r="BH26" i="4"/>
  <c r="AK60" i="4"/>
  <c r="BH56" i="4"/>
  <c r="AK51" i="4"/>
  <c r="AK97" i="4"/>
  <c r="AK74" i="4"/>
  <c r="AK63" i="4"/>
  <c r="BH58" i="4"/>
  <c r="BH57" i="4"/>
  <c r="BH77" i="4"/>
  <c r="AK45" i="4"/>
  <c r="BH83" i="4"/>
  <c r="BH28" i="4"/>
  <c r="BH38" i="4"/>
  <c r="BH67" i="4"/>
  <c r="BH78" i="4"/>
  <c r="AK22" i="4"/>
  <c r="BH21" i="4"/>
  <c r="AK19" i="4"/>
  <c r="BH12" i="4"/>
  <c r="AJ51" i="4"/>
  <c r="AJ60" i="4"/>
  <c r="AJ81" i="4"/>
  <c r="AJ19" i="4"/>
  <c r="AJ45" i="4"/>
  <c r="AJ74" i="4"/>
  <c r="AJ63" i="4"/>
  <c r="AJ86" i="4"/>
  <c r="AJ97" i="4"/>
  <c r="AI63" i="4"/>
  <c r="AI100" i="4"/>
  <c r="AH100" i="4"/>
  <c r="AH86" i="4"/>
  <c r="AH81" i="4"/>
  <c r="AH63" i="4"/>
  <c r="AH51" i="4"/>
  <c r="AH22" i="4"/>
  <c r="AH45" i="4"/>
  <c r="AH60" i="4"/>
  <c r="AH74" i="4"/>
  <c r="AH97" i="4"/>
  <c r="P15" i="5" l="1"/>
  <c r="BG19" i="4"/>
  <c r="AJ23" i="4"/>
  <c r="AL23" i="4"/>
  <c r="BG23" i="4" s="1"/>
  <c r="AL101" i="4"/>
  <c r="BG101" i="4" s="1"/>
  <c r="AK23" i="4"/>
  <c r="AK101" i="4"/>
  <c r="AJ101" i="4"/>
  <c r="AJ102" i="4" s="1"/>
  <c r="AI97" i="4"/>
  <c r="AI86" i="4"/>
  <c r="AI22" i="4"/>
  <c r="AI81" i="4"/>
  <c r="AI51" i="4"/>
  <c r="AI74" i="4"/>
  <c r="AI60" i="4"/>
  <c r="AI45" i="4"/>
  <c r="AI19" i="4"/>
  <c r="AH19" i="4"/>
  <c r="AH101" i="4"/>
  <c r="AH23" i="4" l="1"/>
  <c r="AL102" i="4"/>
  <c r="BG102" i="4" s="1"/>
  <c r="AK102" i="4"/>
  <c r="AK105" i="4" s="1"/>
  <c r="AK107" i="4" s="1"/>
  <c r="AI23" i="4"/>
  <c r="AJ105" i="4"/>
  <c r="AJ107" i="4" s="1"/>
  <c r="AI101" i="4"/>
  <c r="AH102" i="4"/>
  <c r="AG100" i="4"/>
  <c r="AG97" i="4"/>
  <c r="AG86" i="4"/>
  <c r="AG81" i="4"/>
  <c r="AG74" i="4"/>
  <c r="AG63" i="4"/>
  <c r="AG60" i="4"/>
  <c r="AG51" i="4"/>
  <c r="AG45" i="4"/>
  <c r="AG22" i="4"/>
  <c r="AG19" i="4"/>
  <c r="BG105" i="4" l="1"/>
  <c r="AL105" i="4"/>
  <c r="AL107" i="4" s="1"/>
  <c r="AH105" i="4"/>
  <c r="AH107" i="4" s="1"/>
  <c r="AI102" i="4"/>
  <c r="AG23" i="4"/>
  <c r="AG101" i="4"/>
  <c r="AF100" i="4"/>
  <c r="AF97" i="4"/>
  <c r="AF86" i="4"/>
  <c r="AF81" i="4"/>
  <c r="AF74" i="4"/>
  <c r="AF63" i="4"/>
  <c r="AF60" i="4"/>
  <c r="AF51" i="4"/>
  <c r="AF45" i="4"/>
  <c r="AF22" i="4"/>
  <c r="AF19" i="4"/>
  <c r="BI28" i="4"/>
  <c r="AE100" i="4"/>
  <c r="AE97" i="4"/>
  <c r="AE86" i="4"/>
  <c r="AE81" i="4"/>
  <c r="AE74" i="4"/>
  <c r="AE63" i="4"/>
  <c r="AE60" i="4"/>
  <c r="AE51" i="4"/>
  <c r="AE45" i="4"/>
  <c r="AE22" i="4"/>
  <c r="AE19" i="4"/>
  <c r="AD97" i="4"/>
  <c r="AD100" i="4"/>
  <c r="AD86" i="4"/>
  <c r="AD81" i="4"/>
  <c r="AD74" i="4"/>
  <c r="AD63" i="4"/>
  <c r="AD60" i="4"/>
  <c r="AD51" i="4"/>
  <c r="AD45" i="4"/>
  <c r="AD22" i="4"/>
  <c r="AD19" i="4"/>
  <c r="BI21" i="4"/>
  <c r="BI13" i="4"/>
  <c r="BI14" i="4"/>
  <c r="BI15" i="4"/>
  <c r="BI16" i="4"/>
  <c r="BI18" i="4"/>
  <c r="BI26" i="4"/>
  <c r="BI27" i="4"/>
  <c r="BI29" i="4"/>
  <c r="BI30" i="4"/>
  <c r="BI33" i="4"/>
  <c r="BI34" i="4"/>
  <c r="BI36" i="4"/>
  <c r="BI37" i="4"/>
  <c r="BI38" i="4"/>
  <c r="BI39" i="4"/>
  <c r="BI40" i="4"/>
  <c r="BI41" i="4"/>
  <c r="BI42" i="4"/>
  <c r="BI43" i="4"/>
  <c r="BI44" i="4"/>
  <c r="BI47" i="4"/>
  <c r="BI48" i="4"/>
  <c r="BI49" i="4"/>
  <c r="BI50" i="4"/>
  <c r="BI53" i="4"/>
  <c r="BI54" i="4"/>
  <c r="BI56" i="4"/>
  <c r="BI57" i="4"/>
  <c r="BI58" i="4"/>
  <c r="BI59" i="4"/>
  <c r="BI62" i="4"/>
  <c r="BI65" i="4"/>
  <c r="BI66" i="4"/>
  <c r="BI68" i="4"/>
  <c r="BI69" i="4"/>
  <c r="BI70" i="4"/>
  <c r="BI71" i="4"/>
  <c r="BI72" i="4"/>
  <c r="BI73" i="4"/>
  <c r="BI77" i="4"/>
  <c r="BI78" i="4"/>
  <c r="BI79" i="4"/>
  <c r="BI80" i="4"/>
  <c r="BI83" i="4"/>
  <c r="BI84" i="4"/>
  <c r="BI85" i="4"/>
  <c r="BI89" i="4"/>
  <c r="BI90" i="4"/>
  <c r="BI91" i="4"/>
  <c r="BI92" i="4"/>
  <c r="BI93" i="4"/>
  <c r="BI94" i="4"/>
  <c r="BI95" i="4"/>
  <c r="BI99" i="4"/>
  <c r="BI12" i="4"/>
  <c r="AC100" i="4"/>
  <c r="AC51" i="4"/>
  <c r="AC97" i="4"/>
  <c r="AC86" i="4"/>
  <c r="AC81" i="4"/>
  <c r="AC74" i="4"/>
  <c r="AC63" i="4"/>
  <c r="AC60" i="4"/>
  <c r="AC45" i="4"/>
  <c r="AC22" i="4"/>
  <c r="AC19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D97" i="4"/>
  <c r="BO97" i="4" s="1"/>
  <c r="D81" i="4"/>
  <c r="BO81" i="4" s="1"/>
  <c r="D74" i="4"/>
  <c r="BO74" i="4" s="1"/>
  <c r="D54" i="4"/>
  <c r="BO54" i="4" s="1"/>
  <c r="D60" i="4"/>
  <c r="BO60" i="4" s="1"/>
  <c r="D51" i="4"/>
  <c r="BO51" i="4" s="1"/>
  <c r="B45" i="4"/>
  <c r="C45" i="4"/>
  <c r="D45" i="4"/>
  <c r="BO13" i="4"/>
  <c r="BO14" i="4"/>
  <c r="BO15" i="4"/>
  <c r="BO16" i="4"/>
  <c r="BO18" i="4"/>
  <c r="BO19" i="4"/>
  <c r="BO21" i="4"/>
  <c r="BO22" i="4"/>
  <c r="BO23" i="4"/>
  <c r="BO26" i="4"/>
  <c r="BO27" i="4"/>
  <c r="BO29" i="4"/>
  <c r="BO30" i="4"/>
  <c r="BO33" i="4"/>
  <c r="BO34" i="4"/>
  <c r="BO36" i="4"/>
  <c r="BO37" i="4"/>
  <c r="BO38" i="4"/>
  <c r="BO39" i="4"/>
  <c r="BO40" i="4"/>
  <c r="BO41" i="4"/>
  <c r="BO42" i="4"/>
  <c r="BO43" i="4"/>
  <c r="BO44" i="4"/>
  <c r="BO47" i="4"/>
  <c r="BO48" i="4"/>
  <c r="BO49" i="4"/>
  <c r="BO53" i="4"/>
  <c r="BO56" i="4"/>
  <c r="BO57" i="4"/>
  <c r="BO58" i="4"/>
  <c r="BO59" i="4"/>
  <c r="BO62" i="4"/>
  <c r="BO63" i="4"/>
  <c r="BO65" i="4"/>
  <c r="BO66" i="4"/>
  <c r="BO68" i="4"/>
  <c r="BO69" i="4"/>
  <c r="BO70" i="4"/>
  <c r="BO71" i="4"/>
  <c r="BO72" i="4"/>
  <c r="BO73" i="4"/>
  <c r="BO77" i="4"/>
  <c r="BO78" i="4"/>
  <c r="BO79" i="4"/>
  <c r="BO80" i="4"/>
  <c r="BO83" i="4"/>
  <c r="BO84" i="4"/>
  <c r="BO85" i="4"/>
  <c r="BO86" i="4"/>
  <c r="BO88" i="4"/>
  <c r="BO89" i="4"/>
  <c r="BO90" i="4"/>
  <c r="BO91" i="4"/>
  <c r="BO92" i="4"/>
  <c r="BO93" i="4"/>
  <c r="BO94" i="4"/>
  <c r="BO95" i="4"/>
  <c r="BO99" i="4"/>
  <c r="BO100" i="4"/>
  <c r="BO101" i="4"/>
  <c r="BO12" i="4"/>
  <c r="BN26" i="4"/>
  <c r="BN27" i="4"/>
  <c r="BN29" i="4"/>
  <c r="BN30" i="4"/>
  <c r="BN33" i="4"/>
  <c r="BN34" i="4"/>
  <c r="BN36" i="4"/>
  <c r="BN37" i="4"/>
  <c r="BN38" i="4"/>
  <c r="BN39" i="4"/>
  <c r="BN40" i="4"/>
  <c r="BN41" i="4"/>
  <c r="BN42" i="4"/>
  <c r="BN43" i="4"/>
  <c r="BN44" i="4"/>
  <c r="BN45" i="4"/>
  <c r="BN47" i="4"/>
  <c r="BN48" i="4"/>
  <c r="BN49" i="4"/>
  <c r="BN51" i="4"/>
  <c r="BN53" i="4"/>
  <c r="BN56" i="4"/>
  <c r="BN57" i="4"/>
  <c r="BN58" i="4"/>
  <c r="BN59" i="4"/>
  <c r="BN60" i="4"/>
  <c r="BN62" i="4"/>
  <c r="BN63" i="4"/>
  <c r="BN65" i="4"/>
  <c r="BN66" i="4"/>
  <c r="BN68" i="4"/>
  <c r="BN69" i="4"/>
  <c r="BN70" i="4"/>
  <c r="BN71" i="4"/>
  <c r="BN72" i="4"/>
  <c r="BN73" i="4"/>
  <c r="BN74" i="4"/>
  <c r="BN77" i="4"/>
  <c r="BN78" i="4"/>
  <c r="BN79" i="4"/>
  <c r="BN80" i="4"/>
  <c r="BN81" i="4"/>
  <c r="BN83" i="4"/>
  <c r="BN84" i="4"/>
  <c r="BN85" i="4"/>
  <c r="BN86" i="4"/>
  <c r="BN88" i="4"/>
  <c r="BN89" i="4"/>
  <c r="BN90" i="4"/>
  <c r="BN91" i="4"/>
  <c r="BN92" i="4"/>
  <c r="BN93" i="4"/>
  <c r="BN94" i="4"/>
  <c r="BN95" i="4"/>
  <c r="BN97" i="4"/>
  <c r="BN99" i="4"/>
  <c r="BN100" i="4"/>
  <c r="BN101" i="4"/>
  <c r="BN19" i="4"/>
  <c r="BN22" i="4"/>
  <c r="BN21" i="4"/>
  <c r="BN13" i="4"/>
  <c r="BN14" i="4"/>
  <c r="BN15" i="4"/>
  <c r="BN16" i="4"/>
  <c r="BN18" i="4"/>
  <c r="BN12" i="4"/>
  <c r="BM99" i="4"/>
  <c r="BM85" i="4"/>
  <c r="BM84" i="4"/>
  <c r="BM83" i="4"/>
  <c r="BM80" i="4"/>
  <c r="BM79" i="4"/>
  <c r="BM78" i="4"/>
  <c r="BM77" i="4"/>
  <c r="BM73" i="4"/>
  <c r="BM72" i="4"/>
  <c r="BM71" i="4"/>
  <c r="BM70" i="4"/>
  <c r="BM69" i="4"/>
  <c r="BM68" i="4"/>
  <c r="BM66" i="4"/>
  <c r="BM65" i="4"/>
  <c r="BM62" i="4"/>
  <c r="BM59" i="4"/>
  <c r="BM58" i="4"/>
  <c r="BM57" i="4"/>
  <c r="BM56" i="4"/>
  <c r="BM54" i="4"/>
  <c r="BM53" i="4"/>
  <c r="BM48" i="4"/>
  <c r="BM49" i="4"/>
  <c r="BM47" i="4"/>
  <c r="BM27" i="4"/>
  <c r="BM29" i="4"/>
  <c r="BM30" i="4"/>
  <c r="BM33" i="4"/>
  <c r="BM34" i="4"/>
  <c r="BM36" i="4"/>
  <c r="BM37" i="4"/>
  <c r="BM38" i="4"/>
  <c r="BM39" i="4"/>
  <c r="BM40" i="4"/>
  <c r="BM41" i="4"/>
  <c r="BM42" i="4"/>
  <c r="BM43" i="4"/>
  <c r="BM44" i="4"/>
  <c r="BM26" i="4"/>
  <c r="BM21" i="4"/>
  <c r="BM13" i="4"/>
  <c r="BM14" i="4"/>
  <c r="BM15" i="4"/>
  <c r="BM16" i="4"/>
  <c r="BM18" i="4"/>
  <c r="BM12" i="4"/>
  <c r="Q60" i="4"/>
  <c r="R60" i="4"/>
  <c r="S60" i="4"/>
  <c r="T60" i="4"/>
  <c r="U60" i="4"/>
  <c r="V60" i="4"/>
  <c r="W60" i="4"/>
  <c r="X60" i="4"/>
  <c r="Y60" i="4"/>
  <c r="Z60" i="4"/>
  <c r="AA60" i="4"/>
  <c r="AB60" i="4"/>
  <c r="AA19" i="4"/>
  <c r="Z19" i="4"/>
  <c r="AA100" i="4"/>
  <c r="AA97" i="4"/>
  <c r="AA86" i="4"/>
  <c r="AA81" i="4"/>
  <c r="AA74" i="4"/>
  <c r="AA63" i="4"/>
  <c r="AA51" i="4"/>
  <c r="AA45" i="4"/>
  <c r="AA22" i="4"/>
  <c r="BM89" i="4"/>
  <c r="BM90" i="4"/>
  <c r="BM91" i="4"/>
  <c r="BM92" i="4"/>
  <c r="BM93" i="4"/>
  <c r="BM94" i="4"/>
  <c r="BM95" i="4"/>
  <c r="BM88" i="4"/>
  <c r="Z100" i="4"/>
  <c r="Z97" i="4"/>
  <c r="Z86" i="4"/>
  <c r="Z81" i="4"/>
  <c r="Z74" i="4"/>
  <c r="Z63" i="4"/>
  <c r="Z51" i="4"/>
  <c r="Z45" i="4"/>
  <c r="Z22" i="4"/>
  <c r="AB100" i="4"/>
  <c r="Y100" i="4"/>
  <c r="X100" i="4"/>
  <c r="W100" i="4"/>
  <c r="V100" i="4"/>
  <c r="U100" i="4"/>
  <c r="T100" i="4"/>
  <c r="AB97" i="4"/>
  <c r="Y97" i="4"/>
  <c r="X97" i="4"/>
  <c r="W97" i="4"/>
  <c r="V97" i="4"/>
  <c r="U97" i="4"/>
  <c r="T97" i="4"/>
  <c r="S97" i="4"/>
  <c r="R97" i="4"/>
  <c r="Q97" i="4"/>
  <c r="AB86" i="4"/>
  <c r="Y86" i="4"/>
  <c r="X86" i="4"/>
  <c r="W86" i="4"/>
  <c r="V86" i="4"/>
  <c r="U86" i="4"/>
  <c r="T86" i="4"/>
  <c r="S86" i="4"/>
  <c r="R86" i="4"/>
  <c r="Q86" i="4"/>
  <c r="AB81" i="4"/>
  <c r="Y81" i="4"/>
  <c r="X81" i="4"/>
  <c r="W81" i="4"/>
  <c r="V81" i="4"/>
  <c r="U81" i="4"/>
  <c r="T81" i="4"/>
  <c r="S81" i="4"/>
  <c r="R81" i="4"/>
  <c r="Q81" i="4"/>
  <c r="AB74" i="4"/>
  <c r="Y74" i="4"/>
  <c r="X74" i="4"/>
  <c r="W74" i="4"/>
  <c r="V74" i="4"/>
  <c r="U74" i="4"/>
  <c r="T74" i="4"/>
  <c r="S74" i="4"/>
  <c r="R74" i="4"/>
  <c r="Q74" i="4"/>
  <c r="AB63" i="4"/>
  <c r="Y63" i="4"/>
  <c r="X63" i="4"/>
  <c r="W63" i="4"/>
  <c r="T63" i="4"/>
  <c r="S63" i="4"/>
  <c r="R63" i="4"/>
  <c r="Q63" i="4"/>
  <c r="AB51" i="4"/>
  <c r="Y51" i="4"/>
  <c r="X51" i="4"/>
  <c r="W51" i="4"/>
  <c r="V51" i="4"/>
  <c r="U51" i="4"/>
  <c r="T51" i="4"/>
  <c r="S51" i="4"/>
  <c r="R51" i="4"/>
  <c r="Q51" i="4"/>
  <c r="AB45" i="4"/>
  <c r="Y45" i="4"/>
  <c r="X45" i="4"/>
  <c r="W45" i="4"/>
  <c r="V45" i="4"/>
  <c r="U45" i="4"/>
  <c r="T45" i="4"/>
  <c r="S45" i="4"/>
  <c r="R45" i="4"/>
  <c r="Q45" i="4"/>
  <c r="AB22" i="4"/>
  <c r="Y22" i="4"/>
  <c r="X22" i="4"/>
  <c r="W22" i="4"/>
  <c r="V22" i="4"/>
  <c r="U22" i="4"/>
  <c r="T22" i="4"/>
  <c r="S22" i="4"/>
  <c r="R22" i="4"/>
  <c r="Q22" i="4"/>
  <c r="AB19" i="4"/>
  <c r="Y19" i="4"/>
  <c r="X19" i="4"/>
  <c r="W19" i="4"/>
  <c r="V19" i="4"/>
  <c r="U19" i="4"/>
  <c r="T19" i="4"/>
  <c r="S19" i="4"/>
  <c r="R19" i="4"/>
  <c r="Q19" i="4"/>
  <c r="AF6" i="4" l="1"/>
  <c r="G4" i="5" s="1"/>
  <c r="G6" i="5" s="1"/>
  <c r="G8" i="5" s="1"/>
  <c r="AE6" i="4"/>
  <c r="F4" i="5" s="1"/>
  <c r="F6" i="5" s="1"/>
  <c r="F8" i="5" s="1"/>
  <c r="AD6" i="4"/>
  <c r="E4" i="5" s="1"/>
  <c r="E6" i="5" s="1"/>
  <c r="E8" i="5" s="1"/>
  <c r="AG6" i="4"/>
  <c r="H4" i="5" s="1"/>
  <c r="H6" i="5" s="1"/>
  <c r="H8" i="5" s="1"/>
  <c r="H10" i="5" s="1"/>
  <c r="AH6" i="4"/>
  <c r="I4" i="5" s="1"/>
  <c r="I6" i="5" s="1"/>
  <c r="I8" i="5" s="1"/>
  <c r="AC6" i="4"/>
  <c r="D4" i="5" s="1"/>
  <c r="AI6" i="4"/>
  <c r="J4" i="5" s="1"/>
  <c r="J6" i="5" s="1"/>
  <c r="J8" i="5" s="1"/>
  <c r="V5" i="5"/>
  <c r="AJ6" i="4"/>
  <c r="K4" i="5" s="1"/>
  <c r="K6" i="5" s="1"/>
  <c r="K8" i="5" s="1"/>
  <c r="AN6" i="4"/>
  <c r="O4" i="5" s="1"/>
  <c r="O6" i="5" s="1"/>
  <c r="O8" i="5" s="1"/>
  <c r="AM6" i="4"/>
  <c r="N4" i="5" s="1"/>
  <c r="N6" i="5" s="1"/>
  <c r="AK6" i="4"/>
  <c r="L4" i="5" s="1"/>
  <c r="L6" i="5" s="1"/>
  <c r="L8" i="5" s="1"/>
  <c r="AL6" i="4"/>
  <c r="M4" i="5" s="1"/>
  <c r="M6" i="5" s="1"/>
  <c r="M8" i="5" s="1"/>
  <c r="AA6" i="4"/>
  <c r="Z6" i="4"/>
  <c r="AB6" i="4"/>
  <c r="Y6" i="4"/>
  <c r="X6" i="4"/>
  <c r="W6" i="4"/>
  <c r="V6" i="4"/>
  <c r="U6" i="4"/>
  <c r="T6" i="4"/>
  <c r="S6" i="4"/>
  <c r="R6" i="4"/>
  <c r="Q6" i="4"/>
  <c r="BH19" i="4"/>
  <c r="BL100" i="4"/>
  <c r="BL63" i="4"/>
  <c r="BL81" i="4"/>
  <c r="BL22" i="4"/>
  <c r="BL45" i="4"/>
  <c r="BL60" i="4"/>
  <c r="BL86" i="4"/>
  <c r="BL97" i="4"/>
  <c r="BL74" i="4"/>
  <c r="BL51" i="4"/>
  <c r="BL19" i="4"/>
  <c r="AI105" i="4"/>
  <c r="AI107" i="4" s="1"/>
  <c r="BH63" i="4"/>
  <c r="BH97" i="4"/>
  <c r="BH74" i="4"/>
  <c r="BH45" i="4"/>
  <c r="BH81" i="4"/>
  <c r="BH22" i="4"/>
  <c r="BH100" i="4"/>
  <c r="BH51" i="4"/>
  <c r="BH86" i="4"/>
  <c r="BH60" i="4"/>
  <c r="AA23" i="4"/>
  <c r="BO45" i="4"/>
  <c r="V23" i="4"/>
  <c r="AG102" i="4"/>
  <c r="AE23" i="4"/>
  <c r="AF23" i="4"/>
  <c r="AE101" i="4"/>
  <c r="AF101" i="4"/>
  <c r="BI51" i="4"/>
  <c r="BI97" i="4"/>
  <c r="W23" i="4"/>
  <c r="BO102" i="4"/>
  <c r="BO105" i="4" s="1"/>
  <c r="BI86" i="4"/>
  <c r="BN102" i="4"/>
  <c r="BN105" i="4" s="1"/>
  <c r="T23" i="4"/>
  <c r="AD23" i="4"/>
  <c r="Y23" i="4"/>
  <c r="R101" i="4"/>
  <c r="BI22" i="4"/>
  <c r="BI81" i="4"/>
  <c r="BI74" i="4"/>
  <c r="V101" i="4"/>
  <c r="W101" i="4"/>
  <c r="X101" i="4"/>
  <c r="AA101" i="4"/>
  <c r="X23" i="4"/>
  <c r="S101" i="4"/>
  <c r="T101" i="4"/>
  <c r="U101" i="4"/>
  <c r="R23" i="4"/>
  <c r="S23" i="4"/>
  <c r="U23" i="4"/>
  <c r="Y101" i="4"/>
  <c r="BI63" i="4"/>
  <c r="BI100" i="4"/>
  <c r="AC101" i="4"/>
  <c r="AD101" i="4"/>
  <c r="BM19" i="4"/>
  <c r="BI19" i="4"/>
  <c r="BM45" i="4"/>
  <c r="BI45" i="4"/>
  <c r="BI60" i="4"/>
  <c r="AC23" i="4"/>
  <c r="BM22" i="4"/>
  <c r="BM51" i="4"/>
  <c r="BM63" i="4"/>
  <c r="BM74" i="4"/>
  <c r="BM81" i="4"/>
  <c r="BM86" i="4"/>
  <c r="BM97" i="4"/>
  <c r="BM100" i="4"/>
  <c r="BM60" i="4"/>
  <c r="Z23" i="4"/>
  <c r="Z101" i="4"/>
  <c r="Q23" i="4"/>
  <c r="AB23" i="4"/>
  <c r="Q101" i="4"/>
  <c r="AB101" i="4"/>
  <c r="H11" i="5" l="1"/>
  <c r="G10" i="5"/>
  <c r="F10" i="5"/>
  <c r="G11" i="5"/>
  <c r="E10" i="5"/>
  <c r="F11" i="5"/>
  <c r="P4" i="5"/>
  <c r="D6" i="5"/>
  <c r="W6" i="5"/>
  <c r="W7" i="5"/>
  <c r="V7" i="5"/>
  <c r="V6" i="5"/>
  <c r="N8" i="5"/>
  <c r="AA102" i="4"/>
  <c r="AA105" i="4" s="1"/>
  <c r="AA107" i="4" s="1"/>
  <c r="BL101" i="4"/>
  <c r="BL23" i="4"/>
  <c r="AG105" i="4"/>
  <c r="AG107" i="4" s="1"/>
  <c r="BH101" i="4"/>
  <c r="BH23" i="4"/>
  <c r="AE102" i="4"/>
  <c r="AF102" i="4"/>
  <c r="R102" i="4"/>
  <c r="R105" i="4" s="1"/>
  <c r="R107" i="4" s="1"/>
  <c r="T102" i="4"/>
  <c r="T105" i="4" s="1"/>
  <c r="T107" i="4" s="1"/>
  <c r="W102" i="4"/>
  <c r="W105" i="4" s="1"/>
  <c r="W107" i="4" s="1"/>
  <c r="V102" i="4"/>
  <c r="V105" i="4" s="1"/>
  <c r="V107" i="4" s="1"/>
  <c r="U102" i="4"/>
  <c r="U105" i="4" s="1"/>
  <c r="U107" i="4" s="1"/>
  <c r="S102" i="4"/>
  <c r="S105" i="4" s="1"/>
  <c r="S107" i="4" s="1"/>
  <c r="BI101" i="4"/>
  <c r="BI23" i="4"/>
  <c r="Y102" i="4"/>
  <c r="Y105" i="4" s="1"/>
  <c r="Y107" i="4" s="1"/>
  <c r="X102" i="4"/>
  <c r="X105" i="4" s="1"/>
  <c r="X107" i="4" s="1"/>
  <c r="AD102" i="4"/>
  <c r="AC102" i="4"/>
  <c r="AC105" i="4" s="1"/>
  <c r="AB102" i="4"/>
  <c r="AB105" i="4" s="1"/>
  <c r="AB107" i="4" s="1"/>
  <c r="Q102" i="4"/>
  <c r="Q105" i="4" s="1"/>
  <c r="Z102" i="4"/>
  <c r="Z105" i="4" s="1"/>
  <c r="Z107" i="4" s="1"/>
  <c r="BM101" i="4"/>
  <c r="BM23" i="4"/>
  <c r="BN23" i="4"/>
  <c r="D8" i="5" l="1"/>
  <c r="P6" i="5"/>
  <c r="P8" i="5"/>
  <c r="D10" i="5"/>
  <c r="E11" i="5"/>
  <c r="AC107" i="4"/>
  <c r="Q107" i="4"/>
  <c r="U11" i="5"/>
  <c r="BL102" i="4"/>
  <c r="BL105" i="4" s="1"/>
  <c r="BH102" i="4"/>
  <c r="BH105" i="4" s="1"/>
  <c r="BK105" i="4"/>
  <c r="AE105" i="4"/>
  <c r="AE107" i="4" s="1"/>
  <c r="AD105" i="4"/>
  <c r="AF105" i="4"/>
  <c r="AF107" i="4" s="1"/>
  <c r="BI102" i="4"/>
  <c r="BI105" i="4" s="1"/>
  <c r="BM102" i="4"/>
  <c r="BM105" i="4" s="1"/>
  <c r="BM107" i="4" s="1"/>
  <c r="AG108" i="4" l="1"/>
  <c r="H14" i="5" s="1"/>
  <c r="H16" i="5" s="1"/>
  <c r="U108" i="4"/>
  <c r="V108" i="4"/>
  <c r="Z108" i="4"/>
  <c r="X108" i="4"/>
  <c r="W108" i="4"/>
  <c r="AB108" i="4"/>
  <c r="Y108" i="4"/>
  <c r="S108" i="4"/>
  <c r="R108" i="4"/>
  <c r="AA108" i="4"/>
  <c r="U15" i="5"/>
  <c r="U13" i="5"/>
  <c r="U12" i="5"/>
  <c r="U9" i="5"/>
  <c r="Q108" i="4"/>
  <c r="T108" i="4"/>
  <c r="V11" i="5"/>
  <c r="AD107" i="4"/>
  <c r="X9" i="5"/>
  <c r="X13" i="5"/>
  <c r="X12" i="5"/>
  <c r="AC108" i="4" l="1"/>
  <c r="D14" i="5" s="1"/>
  <c r="AN108" i="4"/>
  <c r="O14" i="5" s="1"/>
  <c r="O16" i="5" s="1"/>
  <c r="O18" i="5" s="1"/>
  <c r="AM108" i="4"/>
  <c r="N14" i="5" s="1"/>
  <c r="N16" i="5" s="1"/>
  <c r="N18" i="5" s="1"/>
  <c r="AK108" i="4"/>
  <c r="L14" i="5" s="1"/>
  <c r="L16" i="5" s="1"/>
  <c r="L18" i="5" s="1"/>
  <c r="AJ108" i="4"/>
  <c r="K14" i="5" s="1"/>
  <c r="K16" i="5" s="1"/>
  <c r="K18" i="5" s="1"/>
  <c r="AL108" i="4"/>
  <c r="M14" i="5" s="1"/>
  <c r="M16" i="5" s="1"/>
  <c r="M18" i="5" s="1"/>
  <c r="AH108" i="4"/>
  <c r="I14" i="5" s="1"/>
  <c r="I16" i="5" s="1"/>
  <c r="I18" i="5" s="1"/>
  <c r="AI108" i="4"/>
  <c r="J14" i="5" s="1"/>
  <c r="J16" i="5" s="1"/>
  <c r="J18" i="5" s="1"/>
  <c r="D16" i="5"/>
  <c r="D18" i="5" s="1"/>
  <c r="B30" i="7" s="1"/>
  <c r="V15" i="5"/>
  <c r="V13" i="5"/>
  <c r="V12" i="5"/>
  <c r="W13" i="5"/>
  <c r="W12" i="5"/>
  <c r="V9" i="5"/>
  <c r="AF108" i="4"/>
  <c r="G14" i="5" s="1"/>
  <c r="G16" i="5" s="1"/>
  <c r="G18" i="5" s="1"/>
  <c r="E30" i="7" s="1"/>
  <c r="AE108" i="4"/>
  <c r="F14" i="5" s="1"/>
  <c r="F16" i="5" s="1"/>
  <c r="F18" i="5" s="1"/>
  <c r="D30" i="7" s="1"/>
  <c r="AD108" i="4"/>
  <c r="E14" i="5" s="1"/>
  <c r="H18" i="5"/>
  <c r="F30" i="7" s="1"/>
  <c r="O24" i="5" l="1"/>
  <c r="M30" i="7"/>
  <c r="L30" i="7"/>
  <c r="N24" i="5"/>
  <c r="J30" i="7"/>
  <c r="L24" i="5"/>
  <c r="K24" i="5"/>
  <c r="I30" i="7"/>
  <c r="M24" i="5"/>
  <c r="K30" i="7"/>
  <c r="I24" i="5"/>
  <c r="G30" i="7"/>
  <c r="J24" i="5"/>
  <c r="H30" i="7"/>
  <c r="B33" i="7"/>
  <c r="B35" i="7"/>
  <c r="B34" i="7"/>
  <c r="E35" i="7"/>
  <c r="E34" i="7"/>
  <c r="E33" i="7"/>
  <c r="D35" i="7"/>
  <c r="D34" i="7"/>
  <c r="D33" i="7"/>
  <c r="F35" i="7"/>
  <c r="F34" i="7"/>
  <c r="F33" i="7"/>
  <c r="E16" i="5"/>
  <c r="P14" i="5"/>
  <c r="D24" i="5"/>
  <c r="D20" i="5"/>
  <c r="G20" i="5"/>
  <c r="G24" i="5"/>
  <c r="F24" i="5"/>
  <c r="F20" i="5"/>
  <c r="H20" i="5"/>
  <c r="H24" i="5"/>
  <c r="M35" i="7" l="1"/>
  <c r="M34" i="7"/>
  <c r="M33" i="7"/>
  <c r="L35" i="7"/>
  <c r="L34" i="7"/>
  <c r="L33" i="7"/>
  <c r="J35" i="7"/>
  <c r="J34" i="7"/>
  <c r="J33" i="7"/>
  <c r="I35" i="7"/>
  <c r="I34" i="7"/>
  <c r="I33" i="7"/>
  <c r="K35" i="7"/>
  <c r="K34" i="7"/>
  <c r="K33" i="7"/>
  <c r="G35" i="7"/>
  <c r="G34" i="7"/>
  <c r="G33" i="7"/>
  <c r="H35" i="7"/>
  <c r="H34" i="7"/>
  <c r="H33" i="7"/>
  <c r="D29" i="5"/>
  <c r="D26" i="5"/>
  <c r="G26" i="5"/>
  <c r="G29" i="5"/>
  <c r="P16" i="5"/>
  <c r="E18" i="5"/>
  <c r="C30" i="7" s="1"/>
  <c r="F29" i="5"/>
  <c r="F26" i="5"/>
  <c r="H29" i="5"/>
  <c r="H26" i="5"/>
  <c r="N30" i="7" l="1"/>
  <c r="C35" i="7"/>
  <c r="N35" i="7" s="1"/>
  <c r="C34" i="7"/>
  <c r="N34" i="7" s="1"/>
  <c r="C33" i="7"/>
  <c r="N33" i="7" s="1"/>
  <c r="P18" i="5"/>
  <c r="E24" i="5"/>
  <c r="E20" i="5"/>
  <c r="E29" i="5" l="1"/>
  <c r="E26" i="5"/>
  <c r="P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Sruthi Baskaran</author>
  </authors>
  <commentList>
    <comment ref="X6" authorId="0" shapeId="0" xr:uid="{3E0CA8FC-8D9C-4584-BAC1-924106B1C497}">
      <text>
        <r>
          <rPr>
            <b/>
            <sz val="9"/>
            <color indexed="81"/>
            <rFont val="Tahoma"/>
            <charset val="1"/>
          </rPr>
          <t>As mentioned by Ken</t>
        </r>
      </text>
    </comment>
    <comment ref="X11" authorId="0" shapeId="0" xr:uid="{9F32CF8E-2218-48B2-9152-6A89CE6505F1}">
      <text>
        <r>
          <rPr>
            <b/>
            <sz val="9"/>
            <color indexed="81"/>
            <rFont val="Tahoma"/>
            <charset val="1"/>
          </rPr>
          <t xml:space="preserve">EBIT @ 45% of T/o as agreed by Ken
</t>
        </r>
      </text>
    </comment>
    <comment ref="X15" authorId="0" shapeId="0" xr:uid="{CAB4E236-D12A-4D78-9454-1CE01BC3520C}">
      <text>
        <r>
          <rPr>
            <b/>
            <sz val="9"/>
            <color indexed="81"/>
            <rFont val="Tahoma"/>
            <charset val="1"/>
          </rPr>
          <t>EBIT @ 45% of T/o as agreed by Ken</t>
        </r>
      </text>
    </comment>
  </commentList>
</comments>
</file>

<file path=xl/sharedStrings.xml><?xml version="1.0" encoding="utf-8"?>
<sst xmlns="http://schemas.openxmlformats.org/spreadsheetml/2006/main" count="451" uniqueCount="205">
  <si>
    <t>Company: 124667 - WorldACD Market Data B.V.</t>
  </si>
  <si>
    <t xml:space="preserve"> </t>
  </si>
  <si>
    <t>January</t>
  </si>
  <si>
    <t>Februari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</si>
  <si>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</si>
  <si>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</si>
  <si>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</si>
  <si>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</si>
  <si>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</si>
  <si>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</si>
  <si>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</si>
  <si>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</si>
  <si>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</si>
  <si>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</si>
  <si>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</si>
  <si>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February</t>
  </si>
  <si>
    <t>Profit and loss statement</t>
  </si>
  <si>
    <t>Gross margin</t>
  </si>
  <si>
    <t>Turnover</t>
  </si>
  <si>
    <t>8400 - Turnover Airline</t>
  </si>
  <si>
    <t>8401 - Turnover Airport</t>
  </si>
  <si>
    <t>8402 - Turnover Forwarder</t>
  </si>
  <si>
    <t>8403 - Turnover GSA</t>
  </si>
  <si>
    <t>8404 - Turnover Shipper</t>
  </si>
  <si>
    <t>Total: Turnover</t>
  </si>
  <si>
    <t>Cost of sales</t>
  </si>
  <si>
    <t>7300 - Licensing fees</t>
  </si>
  <si>
    <t>Total: Cost of sales</t>
  </si>
  <si>
    <t>Total: Gross margin</t>
  </si>
  <si>
    <t>Operating costs</t>
  </si>
  <si>
    <t>Personnel Expenses</t>
  </si>
  <si>
    <t>4000 - Gross salary</t>
  </si>
  <si>
    <t>4002 - Bonus pay</t>
  </si>
  <si>
    <t>4006 - Pension premiums</t>
  </si>
  <si>
    <t>4015 - Holiday allowance</t>
  </si>
  <si>
    <t>4041 - Social insurance premiums</t>
  </si>
  <si>
    <t>4050 - Study and training expenses</t>
  </si>
  <si>
    <t>4081 - Social insurance premiums holiday allowance</t>
  </si>
  <si>
    <t>4082 - Management Fee Shanwick B.V.</t>
  </si>
  <si>
    <t>4085 - Holiday leave</t>
  </si>
  <si>
    <t>4086 - Management Fee Decision Company B.V.</t>
  </si>
  <si>
    <t>4087 - Management Fee Ubi Concordia B.V.</t>
  </si>
  <si>
    <t>4090 - Other personnel exp. discretionary scope (vrije ruimte)</t>
  </si>
  <si>
    <t>4092 - Travel and subsistence expenses</t>
  </si>
  <si>
    <t>4093 - Recruitment expenses</t>
  </si>
  <si>
    <t>4099 - Other personnel expenses</t>
  </si>
  <si>
    <t>Total: Personnel Expenses</t>
  </si>
  <si>
    <t>Housing Expenses</t>
  </si>
  <si>
    <t>4100 - Rental expenses</t>
  </si>
  <si>
    <t>4170 - Security expenses</t>
  </si>
  <si>
    <t>4180 - Utilities expenses</t>
  </si>
  <si>
    <t>Total: Housing Expenses</t>
  </si>
  <si>
    <t>Maintenance and small equipment</t>
  </si>
  <si>
    <t>4200 - Maintenance and small equipment</t>
  </si>
  <si>
    <t>Total: Maintenance and small equipment</t>
  </si>
  <si>
    <t>Office Expenses</t>
  </si>
  <si>
    <t>4300 - Office expenses</t>
  </si>
  <si>
    <t>4302 - Postage and courier expenses</t>
  </si>
  <si>
    <t>4305 - Subscriptions and contributions</t>
  </si>
  <si>
    <t>4330 - Telephone expenses</t>
  </si>
  <si>
    <t>Total: Office Expenses</t>
  </si>
  <si>
    <t>Car Expenses</t>
  </si>
  <si>
    <t>4491 - Parking costs</t>
  </si>
  <si>
    <t>Total: Car Expenses</t>
  </si>
  <si>
    <t>Sales Expenses</t>
  </si>
  <si>
    <t>4500 - Promotion expenses</t>
  </si>
  <si>
    <t>4501 - Sponsoring</t>
  </si>
  <si>
    <t>4510 - Business gifts</t>
  </si>
  <si>
    <t>4515 - Entertainment and representation expenses</t>
  </si>
  <si>
    <t>4550 - Conference fees</t>
  </si>
  <si>
    <t>4590 -  Other sales costs</t>
  </si>
  <si>
    <t>Total: Sales Expenses</t>
  </si>
  <si>
    <t>General Expenses</t>
  </si>
  <si>
    <t>4700 - Administrative expenses</t>
  </si>
  <si>
    <t>4720 - Consulting fees</t>
  </si>
  <si>
    <t>4780 - Automation expenses</t>
  </si>
  <si>
    <t>4790 - Other general expenses</t>
  </si>
  <si>
    <t>Total: General Expenses</t>
  </si>
  <si>
    <t>Depreciation</t>
  </si>
  <si>
    <t>4801 - Depreciation software</t>
  </si>
  <si>
    <t>4802 - Depreciation computers</t>
  </si>
  <si>
    <t>4816 - Depreciation equipment and furniture</t>
  </si>
  <si>
    <t>Total: Depreciation</t>
  </si>
  <si>
    <t>Financial Income and Expenses</t>
  </si>
  <si>
    <t>9200 - Interest current account GdW Beheer B.V.</t>
  </si>
  <si>
    <t>9203 - Interest current account Shanwick B.V.</t>
  </si>
  <si>
    <t>9340 - Bank charges</t>
  </si>
  <si>
    <t>9341 - Interest current account bank</t>
  </si>
  <si>
    <t>9390 - Payment differences</t>
  </si>
  <si>
    <t>9400 - Currency exchange result</t>
  </si>
  <si>
    <t>9410 - Purchase discounts</t>
  </si>
  <si>
    <t>Total: Financial Income and Expenses</t>
  </si>
  <si>
    <t>Taxes</t>
  </si>
  <si>
    <t>9800 - Corporate income tax</t>
  </si>
  <si>
    <t>Total: Taxes</t>
  </si>
  <si>
    <t>Total: Operating costs</t>
  </si>
  <si>
    <t>Result</t>
  </si>
  <si>
    <t>Total: Profit and loss statement</t>
  </si>
  <si>
    <t>4530 - Travel costs</t>
  </si>
  <si>
    <t>4560 - Write off bad debts</t>
  </si>
  <si>
    <t>FY2024</t>
  </si>
  <si>
    <t>FY2023</t>
  </si>
  <si>
    <t>FY2022</t>
  </si>
  <si>
    <t xml:space="preserve"> Balance sheet / Profit and loss statement</t>
  </si>
  <si>
    <t>FY2025</t>
  </si>
  <si>
    <t>4190 - Other housing costs</t>
  </si>
  <si>
    <t>9420 - Performance bond result</t>
  </si>
  <si>
    <t>4004 - Temporary staff</t>
  </si>
  <si>
    <t>4060 - Consumptions personnel discretionary scope (vrije ruimte)</t>
  </si>
  <si>
    <t>8500 - Turnover adjustments prior financial year</t>
  </si>
  <si>
    <t>EBIT</t>
  </si>
  <si>
    <t>4016 - Work from home allowance</t>
  </si>
  <si>
    <t>FY2026</t>
  </si>
  <si>
    <t>8405 - Turnover Other</t>
  </si>
  <si>
    <t>Jul</t>
  </si>
  <si>
    <t>Aug</t>
  </si>
  <si>
    <t>4505 - Advertisement &amp; Marketing Expenses</t>
  </si>
  <si>
    <t>Sep</t>
  </si>
  <si>
    <t>OCT</t>
  </si>
  <si>
    <t>NOV</t>
  </si>
  <si>
    <t>DEC</t>
  </si>
  <si>
    <t>4017 - Employee Gifts</t>
  </si>
  <si>
    <t>JAN</t>
  </si>
  <si>
    <t>9345 - Interest tax authorities</t>
  </si>
  <si>
    <t>FEB</t>
  </si>
  <si>
    <t>MAR</t>
  </si>
  <si>
    <t>APR</t>
  </si>
  <si>
    <t>FY2027</t>
  </si>
  <si>
    <t>4160 - Fees &amp; Taxes</t>
  </si>
  <si>
    <t>MAY</t>
  </si>
  <si>
    <t>JUN</t>
  </si>
  <si>
    <t>JUL</t>
  </si>
  <si>
    <t>AUG</t>
  </si>
  <si>
    <t>0</t>
  </si>
  <si>
    <t>Rev distribution per FY</t>
  </si>
  <si>
    <t>Revenue</t>
  </si>
  <si>
    <t>Apr</t>
  </si>
  <si>
    <t>Jun</t>
  </si>
  <si>
    <t>Sept</t>
  </si>
  <si>
    <t>Oct</t>
  </si>
  <si>
    <t>Nov</t>
  </si>
  <si>
    <t>Dec</t>
  </si>
  <si>
    <t>Jan</t>
  </si>
  <si>
    <t>Feb</t>
  </si>
  <si>
    <t>Mar</t>
  </si>
  <si>
    <t>Actual</t>
  </si>
  <si>
    <t>Budget</t>
  </si>
  <si>
    <t>FY 23/24</t>
  </si>
  <si>
    <t>FY 22/23</t>
  </si>
  <si>
    <t>FY 24/25</t>
  </si>
  <si>
    <t>FY25/26</t>
  </si>
  <si>
    <t>Average</t>
  </si>
  <si>
    <t>Revenue growth abs.</t>
  </si>
  <si>
    <t>Revenue growth %</t>
  </si>
  <si>
    <t>FY 25/26</t>
  </si>
  <si>
    <t>Cost</t>
  </si>
  <si>
    <t>Actual vs Budget %</t>
  </si>
  <si>
    <t>Actual vs Budget % - Ytd</t>
  </si>
  <si>
    <t>Actual YoY % - Ytd</t>
  </si>
  <si>
    <t>EBIT growth abs</t>
  </si>
  <si>
    <t>EBIT growth %</t>
  </si>
  <si>
    <t>EBIT Margin</t>
  </si>
  <si>
    <t>Cost distribution per FY</t>
  </si>
  <si>
    <t>FY26/27</t>
  </si>
  <si>
    <t>FY 26/27</t>
  </si>
  <si>
    <t>EBIT as % of T/o</t>
  </si>
  <si>
    <t>Estimate</t>
  </si>
  <si>
    <t>EBIT margin</t>
  </si>
  <si>
    <t>COGS</t>
  </si>
  <si>
    <t>General</t>
  </si>
  <si>
    <t>Personnel</t>
  </si>
  <si>
    <t>Interest</t>
  </si>
  <si>
    <t>Remarks</t>
  </si>
  <si>
    <t>Particulars</t>
  </si>
  <si>
    <t>Row Labels</t>
  </si>
  <si>
    <t>Grand Total</t>
  </si>
  <si>
    <t>Sum of 20244</t>
  </si>
  <si>
    <t>Sum of 20245</t>
  </si>
  <si>
    <t>Sum of 20246</t>
  </si>
  <si>
    <t>Sum of 20247</t>
  </si>
  <si>
    <t>Sum of 20248</t>
  </si>
  <si>
    <t>Sum of 20249</t>
  </si>
  <si>
    <t>Sum of 202410</t>
  </si>
  <si>
    <t>Sum of 202411</t>
  </si>
  <si>
    <t>Sum of 202412</t>
  </si>
  <si>
    <t>Sum of 2025</t>
  </si>
  <si>
    <t>Sum of 20252</t>
  </si>
  <si>
    <t>Sum of 20253</t>
  </si>
  <si>
    <t>Sum of 20254</t>
  </si>
  <si>
    <t>Sum of 20255</t>
  </si>
  <si>
    <t>Sum of 20256</t>
  </si>
  <si>
    <t>Sum of 20257</t>
  </si>
  <si>
    <t>Sum of 20258</t>
  </si>
  <si>
    <t>Sum of 20259</t>
  </si>
  <si>
    <t>Sum of 202510</t>
  </si>
  <si>
    <t>Sum of 202511</t>
  </si>
  <si>
    <t>Sum of 202512</t>
  </si>
  <si>
    <t>Sum of 2026</t>
  </si>
  <si>
    <t>Sum of 20262</t>
  </si>
  <si>
    <t>Sum of 20263</t>
  </si>
  <si>
    <t>Budgeted Costs FY 26/27</t>
  </si>
  <si>
    <t>T/o</t>
  </si>
  <si>
    <t>%</t>
  </si>
  <si>
    <t>Monthly Avg</t>
  </si>
  <si>
    <t>Tax is budgeted @ 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</si>
</sst>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_(* #,##0_);_(* \(#,##0\);_(* &quot;-&quot;??_);_(@_)"/>
    <numFmt numFmtId="166" formatCode="&quot;€&quot;\ #,##0"/>
    <numFmt numFmtId="167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0"/>
      <name val="Arial"/>
      <family val="2"/>
    </font>
    <font>
      <b/>
      <sz val="10"/>
      <color rgb="FF0070C0"/>
      <name val="Arial"/>
      <family val="2"/>
    </font>
    <font>
      <b/>
      <sz val="9"/>
      <color indexed="81"/>
      <name val="Tahoma"/>
      <charset val="1"/>
    </font>
    <font>
      <sz val="11"/>
      <color theme="1"/>
      <name val="Calibri"/>
      <family val="2"/>
      <charset val="1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4" fontId="1" fillId="0" borderId="0" xfId="1" applyNumberForma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4" fontId="1" fillId="0" borderId="0" xfId="1" applyNumberFormat="1" applyAlignment="1">
      <alignment vertical="center"/>
    </xf>
    <xf numFmtId="4" fontId="2" fillId="0" borderId="0" xfId="1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2" fillId="0" borderId="0" xfId="1" applyNumberFormat="1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1" fillId="0" borderId="0" xfId="1" applyAlignment="1">
      <alignment vertical="center" wrapText="1"/>
    </xf>
    <xf numFmtId="4" fontId="2" fillId="2" borderId="0" xfId="1" applyNumberFormat="1" applyFont="1" applyFill="1" applyAlignment="1">
      <alignment horizontal="right" vertical="center"/>
    </xf>
    <xf numFmtId="4" fontId="1" fillId="2" borderId="0" xfId="1" applyNumberFormat="1" applyFill="1" applyAlignment="1">
      <alignment horizontal="right" vertical="center"/>
    </xf>
    <xf numFmtId="4" fontId="4" fillId="2" borderId="0" xfId="0" applyNumberFormat="1" applyFont="1" applyFill="1" applyAlignment="1">
      <alignment horizontal="right" vertical="center"/>
    </xf>
    <xf numFmtId="4" fontId="1" fillId="2" borderId="0" xfId="1" applyNumberFormat="1" applyFill="1" applyAlignment="1">
      <alignment vertical="center"/>
    </xf>
    <xf numFmtId="4" fontId="0" fillId="0" borderId="0" xfId="0" applyNumberFormat="1" applyAlignment="1">
      <alignment horizontal="right" vertical="center"/>
    </xf>
    <xf numFmtId="0" fontId="4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1" fillId="3" borderId="0" xfId="1" applyFill="1" applyAlignment="1">
      <alignment vertical="center"/>
    </xf>
    <xf numFmtId="4" fontId="1" fillId="3" borderId="0" xfId="1" applyNumberFormat="1" applyFill="1" applyAlignment="1">
      <alignment horizontal="right" vertical="center"/>
    </xf>
    <xf numFmtId="4" fontId="2" fillId="3" borderId="0" xfId="1" applyNumberFormat="1" applyFont="1" applyFill="1" applyAlignment="1">
      <alignment horizontal="right" vertical="center"/>
    </xf>
    <xf numFmtId="4" fontId="2" fillId="0" borderId="1" xfId="1" applyNumberFormat="1" applyFont="1" applyBorder="1" applyAlignment="1">
      <alignment vertical="center"/>
    </xf>
    <xf numFmtId="0" fontId="4" fillId="4" borderId="0" xfId="1" applyFont="1" applyFill="1" applyAlignment="1">
      <alignment horizontal="center" vertical="center"/>
    </xf>
    <xf numFmtId="0" fontId="1" fillId="4" borderId="0" xfId="1" applyFill="1" applyAlignment="1">
      <alignment vertical="center"/>
    </xf>
    <xf numFmtId="4" fontId="1" fillId="4" borderId="0" xfId="1" applyNumberFormat="1" applyFill="1" applyAlignment="1">
      <alignment horizontal="right" vertical="center"/>
    </xf>
    <xf numFmtId="4" fontId="4" fillId="4" borderId="0" xfId="0" applyNumberFormat="1" applyFont="1" applyFill="1" applyAlignment="1">
      <alignment horizontal="right" vertical="center"/>
    </xf>
    <xf numFmtId="4" fontId="0" fillId="4" borderId="0" xfId="0" applyNumberFormat="1" applyFill="1" applyAlignment="1">
      <alignment horizontal="right" vertical="center"/>
    </xf>
    <xf numFmtId="4" fontId="2" fillId="4" borderId="0" xfId="1" applyNumberFormat="1" applyFont="1" applyFill="1" applyAlignment="1">
      <alignment horizontal="right" vertical="center"/>
    </xf>
    <xf numFmtId="4" fontId="1" fillId="4" borderId="0" xfId="1" applyNumberFormat="1" applyFill="1" applyAlignment="1">
      <alignment vertical="center"/>
    </xf>
    <xf numFmtId="0" fontId="1" fillId="4" borderId="0" xfId="0" applyFont="1" applyFill="1" applyAlignment="1">
      <alignment vertical="center"/>
    </xf>
    <xf numFmtId="4" fontId="2" fillId="4" borderId="0" xfId="0" applyNumberFormat="1" applyFont="1" applyFill="1" applyAlignment="1">
      <alignment horizontal="right" vertical="center"/>
    </xf>
    <xf numFmtId="0" fontId="2" fillId="4" borderId="0" xfId="1" applyFont="1" applyFill="1" applyAlignment="1">
      <alignment vertical="center"/>
    </xf>
    <xf numFmtId="4" fontId="2" fillId="4" borderId="0" xfId="0" applyNumberFormat="1" applyFont="1" applyFill="1" applyAlignment="1">
      <alignment vertical="center"/>
    </xf>
    <xf numFmtId="4" fontId="2" fillId="2" borderId="0" xfId="1" applyNumberFormat="1" applyFont="1" applyFill="1" applyAlignment="1">
      <alignment vertical="center"/>
    </xf>
    <xf numFmtId="4" fontId="2" fillId="4" borderId="0" xfId="1" applyNumberFormat="1" applyFont="1" applyFill="1" applyAlignment="1">
      <alignment vertical="center"/>
    </xf>
    <xf numFmtId="0" fontId="0" fillId="0" borderId="0" xfId="0" applyAlignment="1">
      <alignment wrapText="1"/>
    </xf>
    <xf numFmtId="0" fontId="7" fillId="0" borderId="0" xfId="1" applyFont="1" applyAlignment="1">
      <alignment horizontal="right" vertical="center"/>
    </xf>
    <xf numFmtId="164" fontId="7" fillId="5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0" fillId="6" borderId="0" xfId="1" applyFont="1" applyFill="1" applyAlignment="1">
      <alignment horizontal="center" vertical="center"/>
    </xf>
    <xf numFmtId="0" fontId="10" fillId="7" borderId="0" xfId="1" applyFont="1" applyFill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9" fillId="0" borderId="0" xfId="1" applyFont="1" applyAlignment="1">
      <alignment vertical="center"/>
    </xf>
    <xf numFmtId="165" fontId="9" fillId="0" borderId="0" xfId="2" applyNumberFormat="1" applyFont="1" applyFill="1" applyAlignment="1">
      <alignment horizontal="center"/>
    </xf>
    <xf numFmtId="3" fontId="9" fillId="8" borderId="0" xfId="0" applyNumberFormat="1" applyFont="1" applyFill="1"/>
    <xf numFmtId="0" fontId="0" fillId="0" borderId="0" xfId="0" applyAlignment="1">
      <alignment horizontal="left"/>
    </xf>
    <xf numFmtId="164" fontId="0" fillId="9" borderId="0" xfId="0" applyNumberFormat="1" applyFill="1" applyAlignment="1">
      <alignment horizontal="center"/>
    </xf>
    <xf numFmtId="165" fontId="9" fillId="0" borderId="0" xfId="0" applyNumberFormat="1" applyFont="1" applyAlignment="1">
      <alignment horizontal="center"/>
    </xf>
    <xf numFmtId="165" fontId="9" fillId="10" borderId="0" xfId="2" applyNumberFormat="1" applyFont="1" applyFill="1"/>
    <xf numFmtId="9" fontId="9" fillId="0" borderId="0" xfId="3" applyFont="1" applyAlignment="1">
      <alignment horizontal="center"/>
    </xf>
    <xf numFmtId="166" fontId="0" fillId="0" borderId="0" xfId="0" applyNumberFormat="1"/>
    <xf numFmtId="166" fontId="0" fillId="8" borderId="0" xfId="0" applyNumberFormat="1" applyFill="1"/>
    <xf numFmtId="3" fontId="9" fillId="11" borderId="0" xfId="0" applyNumberFormat="1" applyFont="1" applyFill="1"/>
    <xf numFmtId="3" fontId="9" fillId="0" borderId="0" xfId="0" applyNumberFormat="1" applyFont="1" applyAlignment="1">
      <alignment horizontal="center"/>
    </xf>
    <xf numFmtId="3" fontId="9" fillId="12" borderId="0" xfId="0" applyNumberFormat="1" applyFont="1" applyFill="1"/>
    <xf numFmtId="9" fontId="0" fillId="0" borderId="0" xfId="0" applyNumberFormat="1" applyAlignment="1">
      <alignment horizontal="center"/>
    </xf>
    <xf numFmtId="166" fontId="0" fillId="11" borderId="0" xfId="0" applyNumberFormat="1" applyFill="1"/>
    <xf numFmtId="166" fontId="0" fillId="12" borderId="0" xfId="0" applyNumberFormat="1" applyFill="1"/>
    <xf numFmtId="0" fontId="8" fillId="0" borderId="0" xfId="0" applyFont="1"/>
    <xf numFmtId="9" fontId="0" fillId="0" borderId="0" xfId="3" applyFont="1" applyAlignment="1">
      <alignment horizontal="center"/>
    </xf>
    <xf numFmtId="0" fontId="11" fillId="0" borderId="0" xfId="1" applyFont="1" applyAlignment="1">
      <alignment vertical="center"/>
    </xf>
    <xf numFmtId="3" fontId="11" fillId="0" borderId="0" xfId="1" applyNumberFormat="1" applyFont="1" applyAlignment="1">
      <alignment horizontal="right" vertical="center"/>
    </xf>
    <xf numFmtId="164" fontId="3" fillId="0" borderId="0" xfId="3" applyNumberFormat="1" applyFont="1" applyAlignment="1">
      <alignment horizontal="center" vertical="center"/>
    </xf>
    <xf numFmtId="9" fontId="9" fillId="10" borderId="0" xfId="3" applyFont="1" applyFill="1"/>
    <xf numFmtId="0" fontId="13" fillId="0" borderId="0" xfId="4"/>
    <xf numFmtId="9" fontId="0" fillId="0" borderId="0" xfId="5" applyFont="1"/>
    <xf numFmtId="9" fontId="13" fillId="0" borderId="0" xfId="4" applyNumberFormat="1"/>
    <xf numFmtId="0" fontId="14" fillId="0" borderId="0" xfId="4" applyFont="1"/>
    <xf numFmtId="0" fontId="15" fillId="0" borderId="0" xfId="4" applyFont="1" applyAlignment="1">
      <alignment horizontal="center"/>
    </xf>
    <xf numFmtId="0" fontId="15" fillId="0" borderId="0" xfId="4" applyFont="1"/>
    <xf numFmtId="0" fontId="15" fillId="8" borderId="0" xfId="4" applyFont="1" applyFill="1"/>
    <xf numFmtId="0" fontId="16" fillId="0" borderId="0" xfId="4" applyFont="1"/>
    <xf numFmtId="10" fontId="16" fillId="0" borderId="0" xfId="5" applyNumberFormat="1" applyFont="1"/>
    <xf numFmtId="10" fontId="16" fillId="0" borderId="0" xfId="4" applyNumberFormat="1" applyFont="1"/>
    <xf numFmtId="4" fontId="16" fillId="0" borderId="0" xfId="4" applyNumberFormat="1" applyFont="1"/>
    <xf numFmtId="4" fontId="17" fillId="0" borderId="0" xfId="4" applyNumberFormat="1" applyFont="1"/>
    <xf numFmtId="10" fontId="15" fillId="0" borderId="0" xfId="4" applyNumberFormat="1" applyFont="1"/>
    <xf numFmtId="164" fontId="16" fillId="0" borderId="0" xfId="4" applyNumberFormat="1" applyFont="1"/>
    <xf numFmtId="4" fontId="18" fillId="0" borderId="0" xfId="4" applyNumberFormat="1" applyFont="1"/>
    <xf numFmtId="4" fontId="17" fillId="13" borderId="0" xfId="4" applyNumberFormat="1" applyFont="1" applyFill="1"/>
    <xf numFmtId="9" fontId="16" fillId="0" borderId="0" xfId="5" applyFont="1"/>
    <xf numFmtId="1" fontId="16" fillId="0" borderId="0" xfId="4" applyNumberFormat="1" applyFont="1"/>
    <xf numFmtId="1" fontId="15" fillId="0" borderId="0" xfId="4" applyNumberFormat="1" applyFont="1"/>
    <xf numFmtId="4" fontId="15" fillId="0" borderId="0" xfId="4" applyNumberFormat="1" applyFont="1"/>
    <xf numFmtId="164" fontId="15" fillId="0" borderId="0" xfId="4" applyNumberFormat="1" applyFont="1"/>
    <xf numFmtId="4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pivotButton="1"/>
    <xf numFmtId="167" fontId="0" fillId="0" borderId="0" xfId="0" applyNumberFormat="1"/>
    <xf numFmtId="167" fontId="0" fillId="0" borderId="0" xfId="2" applyNumberFormat="1" applyFont="1"/>
    <xf numFmtId="9" fontId="0" fillId="0" borderId="0" xfId="3" applyFont="1"/>
    <xf numFmtId="0" fontId="2" fillId="0" borderId="0" xfId="1" applyFont="1" applyAlignment="1">
      <alignment vertical="center" wrapText="1"/>
    </xf>
    <xf numFmtId="0" fontId="1" fillId="0" borderId="0" xfId="1" applyAlignment="1">
      <alignment vertical="center" wrapText="1"/>
    </xf>
  </cellXfs>
  <cellStyles count="6">
    <cellStyle name="Comma" xfId="2" builtinId="3"/>
    <cellStyle name="Normal" xfId="0" builtinId="0"/>
    <cellStyle name="Normal 2" xfId="4" xr:uid="{EE6F0699-343F-46CE-8B9D-0A19007E8713}"/>
    <cellStyle name="Percent" xfId="3" builtinId="5"/>
    <cellStyle name="Percent 2" xfId="5" xr:uid="{1FF9C042-4349-40BD-8251-85941243DA91}"/>
    <cellStyle name="Standaard 2" xfId="1" xr:uid="{76B3C891-7D4F-410A-B99B-279BA014AD75}"/>
  </cellStyles>
  <dxfs count="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uthi Baskaran" refreshedDate="46283.861969212965" createdVersion="8" refreshedVersion="8" minRefreshableVersion="3" recordCount="98" xr:uid="{8B5F154D-5363-4091-9530-A7E7DA581F37}">
  <cacheSource type="worksheet">
    <worksheetSource ref="A7:BP105" sheet="P&amp;L WACD"/>
  </cacheSource>
  <cacheFields count="68">
    <cacheField name="Particulars" numFmtId="0">
      <sharedItems containsBlank="1"/>
    </cacheField>
    <cacheField name="2022" numFmtId="0">
      <sharedItems containsBlank="1" containsMixedTypes="1" containsNumber="1" minValue="-258835.99" maxValue="146959.53999999998"/>
    </cacheField>
    <cacheField name="20222" numFmtId="0">
      <sharedItems containsBlank="1" containsMixedTypes="1" containsNumber="1" minValue="-252152.8" maxValue="139551.78999999998"/>
    </cacheField>
    <cacheField name="20223" numFmtId="0">
      <sharedItems containsBlank="1" containsMixedTypes="1" containsNumber="1" minValue="-283840.84999999998" maxValue="168410.90999999997"/>
    </cacheField>
    <cacheField name="20224" numFmtId="0">
      <sharedItems containsBlank="1" containsMixedTypes="1" containsNumber="1" minValue="-288745.44" maxValue="172606.93"/>
    </cacheField>
    <cacheField name="20225" numFmtId="0">
      <sharedItems containsBlank="1" containsMixedTypes="1" containsNumber="1" minValue="-310778.5" maxValue="187948.24"/>
    </cacheField>
    <cacheField name="20226" numFmtId="0">
      <sharedItems containsBlank="1" containsMixedTypes="1" containsNumber="1" minValue="-307097.89" maxValue="162808"/>
    </cacheField>
    <cacheField name="20227" numFmtId="0">
      <sharedItems containsBlank="1" containsMixedTypes="1" containsNumber="1" minValue="-315801.39" maxValue="175196.08"/>
    </cacheField>
    <cacheField name="20228" numFmtId="0">
      <sharedItems containsBlank="1" containsMixedTypes="1" containsNumber="1" minValue="-319343.94" maxValue="159364.07999999999"/>
    </cacheField>
    <cacheField name="20229" numFmtId="0">
      <sharedItems containsBlank="1" containsMixedTypes="1" containsNumber="1" minValue="-313479.26" maxValue="161905.71"/>
    </cacheField>
    <cacheField name="202210" numFmtId="0">
      <sharedItems containsBlank="1" containsMixedTypes="1" containsNumber="1" minValue="-333672.69" maxValue="167294.76"/>
    </cacheField>
    <cacheField name="202211" numFmtId="0">
      <sharedItems containsBlank="1" containsMixedTypes="1" containsNumber="1" minValue="-321815.77" maxValue="188425.98"/>
    </cacheField>
    <cacheField name="202212" numFmtId="0">
      <sharedItems containsBlank="1" containsMixedTypes="1" containsNumber="1" minValue="-328053" maxValue="190255.54"/>
    </cacheField>
    <cacheField name="2023" numFmtId="0">
      <sharedItems containsBlank="1" containsMixedTypes="1" containsNumber="1" minValue="-334550.8" maxValue="195144.6"/>
    </cacheField>
    <cacheField name="20232" numFmtId="0">
      <sharedItems containsBlank="1" containsMixedTypes="1" containsNumber="1" minValue="-302189.94" maxValue="159104.84000000003"/>
    </cacheField>
    <cacheField name="20233" numFmtId="0">
      <sharedItems containsBlank="1" containsMixedTypes="1" containsNumber="1" minValue="-330156.37" maxValue="217013.55"/>
    </cacheField>
    <cacheField name="20234" numFmtId="0">
      <sharedItems containsBlank="1" containsMixedTypes="1" containsNumber="1" minValue="-355520.89" maxValue="229832.52000000002"/>
    </cacheField>
    <cacheField name="20235" numFmtId="0">
      <sharedItems containsBlank="1" containsMixedTypes="1" containsNumber="1" minValue="-396953.35" maxValue="254641.93"/>
    </cacheField>
    <cacheField name="20236" numFmtId="0">
      <sharedItems containsBlank="1" containsMixedTypes="1" containsNumber="1" minValue="-358186.03" maxValue="236978.55000000005"/>
    </cacheField>
    <cacheField name="20237" numFmtId="0">
      <sharedItems containsBlank="1" containsMixedTypes="1" containsNumber="1" minValue="-371106.77" maxValue="220083.46"/>
    </cacheField>
    <cacheField name="20238" numFmtId="0">
      <sharedItems containsBlank="1" containsMixedTypes="1" containsNumber="1" minValue="-386086.06" maxValue="236467.31"/>
    </cacheField>
    <cacheField name="20239" numFmtId="0">
      <sharedItems containsBlank="1" containsMixedTypes="1" containsNumber="1" minValue="-382439.70000000007" maxValue="230531.09000000008"/>
    </cacheField>
    <cacheField name="202310" numFmtId="0">
      <sharedItems containsBlank="1" containsMixedTypes="1" containsNumber="1" minValue="-403628.06" maxValue="261783.17"/>
    </cacheField>
    <cacheField name="202311" numFmtId="0">
      <sharedItems containsBlank="1" containsMixedTypes="1" containsNumber="1" minValue="-405974.44000000006" maxValue="260949.92000000007"/>
    </cacheField>
    <cacheField name="202312" numFmtId="0">
      <sharedItems containsBlank="1" containsMixedTypes="1" containsNumber="1" minValue="-427331.23999999993" maxValue="243591.84999999995"/>
    </cacheField>
    <cacheField name="2024" numFmtId="0">
      <sharedItems containsBlank="1" containsMixedTypes="1" containsNumber="1" minValue="-425151.13" maxValue="262147.21000000008"/>
    </cacheField>
    <cacheField name="20242" numFmtId="0">
      <sharedItems containsBlank="1" containsMixedTypes="1" containsNumber="1" minValue="-404187.16000000003" maxValue="232550.46000000002"/>
    </cacheField>
    <cacheField name="20243" numFmtId="0">
      <sharedItems containsBlank="1" containsMixedTypes="1" containsNumber="1" minValue="-437911.77000000008" maxValue="254348.22999999995"/>
    </cacheField>
    <cacheField name="20244" numFmtId="0">
      <sharedItems containsBlank="1" containsMixedTypes="1" containsNumber="1" minValue="-440333.63" maxValue="233580.67999999996" count="46">
        <s v="April"/>
        <m/>
        <n v="-320579.06"/>
        <n v="-7085.7"/>
        <n v="-76659.13"/>
        <n v="-38385.980000000003"/>
        <n v="-5331.96"/>
        <n v="7708.2"/>
        <n v="-440333.63"/>
        <n v="7155.9"/>
        <n v="-433177.73"/>
        <n v="61178.5"/>
        <n v="0"/>
        <n v="6528.67"/>
        <n v="4894.28"/>
        <n v="9449.19"/>
        <n v="978.86"/>
        <n v="31041.33"/>
        <n v="2001.98"/>
        <n v="6317.26"/>
        <n v="14619"/>
        <n v="137009.07"/>
        <n v="189.31"/>
        <n v="1125.54"/>
        <n v="1314.85"/>
        <n v="8244.14"/>
        <n v="5640"/>
        <n v="800"/>
        <n v="3000"/>
        <n v="9440"/>
        <n v="5171.78"/>
        <n v="22713.5"/>
        <n v="14621.29"/>
        <n v="42506.57"/>
        <n v="942.3"/>
        <n v="140.12"/>
        <n v="1082.42"/>
        <n v="-11290"/>
        <n v="557.49"/>
        <n v="-61.57"/>
        <n v="-76.38"/>
        <n v="-10870.46"/>
        <n v="43114.36"/>
        <n v="231840.95"/>
        <n v="201336.77999999997"/>
        <n v="233580.67999999996"/>
      </sharedItems>
    </cacheField>
    <cacheField name="20245" numFmtId="0">
      <sharedItems containsBlank="1" containsMixedTypes="1" containsNumber="1" minValue="-478001.41000000003" maxValue="285702.01000000007" count="52">
        <s v="May"/>
        <m/>
        <n v="-329099.65000000002"/>
        <n v="-7321.88"/>
        <n v="-78034.899999999994"/>
        <n v="-47118.62"/>
        <n v="-5509.7"/>
        <n v="-10916.66"/>
        <n v="-478001.41000000003"/>
        <n v="6655.11"/>
        <n v="-471346.30000000005"/>
        <n v="62127.5"/>
        <n v="0"/>
        <n v="7292.73"/>
        <n v="4970.2"/>
        <n v="11124.54"/>
        <n v="302.17"/>
        <n v="994.04"/>
        <n v="31041.33"/>
        <n v="2001.98"/>
        <n v="757.61"/>
        <n v="2490"/>
        <n v="1500"/>
        <n v="124602.09999999999"/>
        <n v="406.97"/>
        <n v="653.29"/>
        <n v="1281.6500000000001"/>
        <n v="71.62"/>
        <n v="2006.56"/>
        <n v="3099.96"/>
        <n v="796.58"/>
        <n v="10219.92"/>
        <n v="-2141.2600000000002"/>
        <n v="4000"/>
        <n v="15975.199999999999"/>
        <n v="1938.01"/>
        <n v="29713.75"/>
        <n v="9801.2000000000007"/>
        <n v="41452.959999999999"/>
        <n v="1031.27"/>
        <n v="156.08000000000001"/>
        <n v="13.15"/>
        <n v="1200.5"/>
        <n v="-12066.6"/>
        <n v="234.86"/>
        <n v="-832.01"/>
        <n v="-1218.51"/>
        <n v="-13882.26"/>
        <n v="55839.87"/>
        <n v="227601.89999999997"/>
        <n v="243744.40000000008"/>
        <n v="285702.01000000007"/>
      </sharedItems>
    </cacheField>
    <cacheField name="20246" numFmtId="0">
      <sharedItems containsBlank="1" containsMixedTypes="1" containsNumber="1" minValue="-469947.22000000003" maxValue="237340.54"/>
    </cacheField>
    <cacheField name="20247" numFmtId="0">
      <sharedItems containsBlank="1" containsMixedTypes="1" containsNumber="1" minValue="-484548.4" maxValue="268078.58"/>
    </cacheField>
    <cacheField name="20248" numFmtId="0">
      <sharedItems containsBlank="1" containsMixedTypes="1" containsNumber="1" minValue="-474170.59" maxValue="380075.42999999993"/>
    </cacheField>
    <cacheField name="20249" numFmtId="0">
      <sharedItems containsBlank="1" containsMixedTypes="1" containsNumber="1" minValue="-483141.87999999995" maxValue="304268.83999999997"/>
    </cacheField>
    <cacheField name="202410" numFmtId="0">
      <sharedItems containsBlank="1" containsMixedTypes="1" containsNumber="1" minValue="-499910.62999999995" maxValue="302394.71999999997"/>
    </cacheField>
    <cacheField name="202411" numFmtId="0">
      <sharedItems containsBlank="1" containsMixedTypes="1" containsNumber="1" minValue="-511807.17" maxValue="301460.01"/>
    </cacheField>
    <cacheField name="202412" numFmtId="0">
      <sharedItems containsBlank="1" containsMixedTypes="1" containsNumber="1" minValue="-525449.68999999994" maxValue="293913.18000000005"/>
    </cacheField>
    <cacheField name="2025" numFmtId="0">
      <sharedItems containsBlank="1" containsMixedTypes="1" containsNumber="1" minValue="-530917.32999999996" maxValue="323700.42000000004" count="57">
        <s v="January"/>
        <m/>
        <n v="-343853.07"/>
        <n v="-16727.73"/>
        <n v="-121700.37"/>
        <n v="-37234.410000000003"/>
        <n v="-11401.75"/>
        <n v="0"/>
        <n v="-530917.32999999996"/>
        <n v="1934.88"/>
        <n v="-528982.44999999995"/>
        <n v="82674.94"/>
        <n v="5250"/>
        <n v="9416.01"/>
        <n v="6359.21"/>
        <n v="2800"/>
        <n v="13242.98"/>
        <n v="2735.37"/>
        <n v="1255.1400000000001"/>
        <n v="31041.33"/>
        <n v="2001.98"/>
        <n v="2952.7"/>
        <n v="238.21"/>
        <n v="159967.87"/>
        <n v="8635.32"/>
        <n v="469.05"/>
        <n v="9104.369999999999"/>
        <n v="3814.71"/>
        <n v="405.29"/>
        <n v="1673.53"/>
        <n v="93.11"/>
        <n v="5986.6399999999994"/>
        <n v="7032.5"/>
        <n v="655.58"/>
        <n v="3016.85"/>
        <n v="2153.25"/>
        <n v="16058.57"/>
        <n v="28916.75"/>
        <n v="258"/>
        <n v="59932.81"/>
        <n v="11198.71"/>
        <n v="1385"/>
        <n v="72774.51999999999"/>
        <n v="1031.27"/>
        <n v="185.67"/>
        <n v="512.20000000000005"/>
        <n v="1729.14"/>
        <n v="-19839.53"/>
        <n v="374.55"/>
        <n v="-141.97999999999999"/>
        <n v="31.5"/>
        <n v="-6938.13"/>
        <n v="-26513.59"/>
        <n v="71734.720000000001"/>
        <n v="323700.42000000004"/>
        <n v="205282.02999999991"/>
        <n v="250503.15999999989"/>
      </sharedItems>
    </cacheField>
    <cacheField name="20252" numFmtId="0">
      <sharedItems containsBlank="1" containsMixedTypes="1" containsNumber="1" minValue="-479648.74" maxValue="269483.16000000003"/>
    </cacheField>
    <cacheField name="20253" numFmtId="0">
      <sharedItems containsBlank="1" containsMixedTypes="1" containsNumber="1" minValue="-518681.75" maxValue="329575.43000000005"/>
    </cacheField>
    <cacheField name="20254" numFmtId="0">
      <sharedItems containsBlank="1" containsMixedTypes="1" containsNumber="1" minValue="-534264.59" maxValue="310670.48999999993"/>
    </cacheField>
    <cacheField name="20255" numFmtId="0">
      <sharedItems containsBlank="1" containsMixedTypes="1" containsNumber="1" minValue="-545222.54" maxValue="310756.84999999998"/>
    </cacheField>
    <cacheField name="20256" numFmtId="0">
      <sharedItems containsBlank="1" containsMixedTypes="1" containsNumber="1" minValue="-550127.99" maxValue="469714.79999999993"/>
    </cacheField>
    <cacheField name="20257" numFmtId="0">
      <sharedItems containsBlank="1" containsMixedTypes="1" containsNumber="1" minValue="-519479.27" maxValue="293028.38"/>
    </cacheField>
    <cacheField name="20258" numFmtId="0">
      <sharedItems containsBlank="1" containsMixedTypes="1" containsNumber="1" minValue="-563941.36" maxValue="319168.23"/>
    </cacheField>
    <cacheField name="20259" numFmtId="0">
      <sharedItems containsBlank="1" containsMixedTypes="1" containsNumber="1" minValue="-610774.36" maxValue="364283.04000000004"/>
    </cacheField>
    <cacheField name="202510" numFmtId="0">
      <sharedItems containsBlank="1" containsMixedTypes="1" containsNumber="1" minValue="-656291.86" maxValue="398889.99000000005"/>
    </cacheField>
    <cacheField name="202511" numFmtId="0">
      <sharedItems containsBlank="1" containsMixedTypes="1" containsNumber="1" minValue="-621761.44999999995" maxValue="353448.2"/>
    </cacheField>
    <cacheField name="202512" numFmtId="0">
      <sharedItems containsBlank="1" containsMixedTypes="1" containsNumber="1" minValue="-642679.99" maxValue="391506.09"/>
    </cacheField>
    <cacheField name="2026" numFmtId="0">
      <sharedItems containsBlank="1" containsMixedTypes="1" containsNumber="1" minValue="-570044.6" maxValue="343586.69000000006"/>
    </cacheField>
    <cacheField name="20262" numFmtId="0">
      <sharedItems containsBlank="1" containsMixedTypes="1" containsNumber="1" minValue="-568886.15999999992" maxValue="328979.92000000004"/>
    </cacheField>
    <cacheField name="20263" numFmtId="0">
      <sharedItems containsBlank="1" containsMixedTypes="1" containsNumber="1" minValue="-653451.39999999991" maxValue="370250.05000000005"/>
    </cacheField>
    <cacheField name="20264" numFmtId="0">
      <sharedItems containsBlank="1" containsMixedTypes="1" containsNumber="1" minValue="-617842.09" maxValue="338052.75" count="57">
        <s v="APR"/>
        <m/>
        <n v="-383050.36"/>
        <n v="-21734.36"/>
        <n v="-116152.23"/>
        <n v="-41778.39"/>
        <n v="-27779.279999999999"/>
        <n v="-11028.23"/>
        <n v="-16319.24"/>
        <n v="-617842.09"/>
        <n v="14575.96"/>
        <n v="-603266.13"/>
        <n v="108764.98"/>
        <n v="0"/>
        <s v="0"/>
        <n v="12029.83"/>
        <n v="9249.0300000000007"/>
        <n v="19016.05"/>
        <n v="753.08"/>
        <n v="418.08"/>
        <n v="1849.81"/>
        <n v="37731"/>
        <n v="2001.98"/>
        <n v="2586.9699999999998"/>
        <n v="323.17"/>
        <n v="194723.97999999998"/>
        <n v="9993.2000000000007"/>
        <n v="495.93"/>
        <n v="10489.130000000001"/>
        <n v="325"/>
        <n v="5960.13"/>
        <n v="77.52"/>
        <n v="6362.6500000000005"/>
        <n v="-2782.92"/>
        <n v="2400"/>
        <n v="6141.99"/>
        <n v="5759.07"/>
        <n v="3274.8"/>
        <n v="742.5"/>
        <n v="51493.52"/>
        <n v="25112.73"/>
        <n v="28.4"/>
        <n v="80651.95"/>
        <n v="1031.27"/>
        <n v="185.67"/>
        <n v="512.20000000000005"/>
        <n v="1729.14"/>
        <n v="-25563.88"/>
        <n v="259.52999999999997"/>
        <n v="-311.64"/>
        <n v="0.4"/>
        <n v="7962.83"/>
        <n v="-17652.760000000002"/>
        <n v="55989.59"/>
        <n v="338052.75"/>
        <n v="265213.38"/>
        <n v="303550.20999999996"/>
      </sharedItems>
    </cacheField>
    <cacheField name="20265" numFmtId="0">
      <sharedItems containsBlank="1" containsMixedTypes="1" containsNumber="1" minValue="-649472.9" maxValue="368648.20000000007" count="53">
        <s v="MAY"/>
        <m/>
        <n v="-389957.34"/>
        <n v="-21027.360000000001"/>
        <n v="-130611.19"/>
        <n v="-44867.79"/>
        <n v="-28705.24"/>
        <n v="-11408.63"/>
        <n v="-22895.35"/>
        <n v="-649472.9"/>
        <n v="14685.17"/>
        <n v="-634787.73"/>
        <n v="108764.98"/>
        <n v="0"/>
        <n v="12029.83"/>
        <n v="9249.0300000000007"/>
        <n v="19016.05"/>
        <n v="5813.69"/>
        <n v="735.83"/>
        <n v="1849.81"/>
        <n v="37731"/>
        <n v="2001.98"/>
        <n v="6116.7"/>
        <n v="332.76"/>
        <n v="203641.66"/>
        <n v="8268.8799999999992"/>
        <n v="495.93"/>
        <n v="8764.81"/>
        <n v="416.2"/>
        <n v="5134.04"/>
        <n v="53.5"/>
        <n v="5603.74"/>
        <n v="16950.080000000002"/>
        <n v="451.38"/>
        <n v="6346.71"/>
        <n v="23748.170000000002"/>
        <n v="114.97"/>
        <n v="45353.599999999999"/>
        <n v="10572.87"/>
        <n v="1179.8399999999999"/>
        <n v="57221.279999999999"/>
        <n v="1031.27"/>
        <n v="185.67"/>
        <n v="512.20000000000005"/>
        <n v="1729.14"/>
        <n v="-25647.93"/>
        <n v="341.49"/>
        <n v="-2503.8200000000002"/>
        <n v="-27810.26"/>
        <n v="95749.66"/>
        <n v="368648.20000000007"/>
        <n v="266139.52999999991"/>
        <n v="334078.92999999993"/>
      </sharedItems>
    </cacheField>
    <cacheField name="20266" numFmtId="0">
      <sharedItems containsBlank="1" containsMixedTypes="1" containsNumber="1" minValue="-679674.39" maxValue="403568.55000000005" count="55">
        <s v="JUN"/>
        <m/>
        <n v="-400237.74"/>
        <n v="-25988.5"/>
        <n v="-156785.28"/>
        <n v="-56485.84"/>
        <n v="-27823.66"/>
        <n v="-11040.62"/>
        <n v="-951.22"/>
        <n v="-679312.86"/>
        <n v="-361.53"/>
        <n v="-679674.39"/>
        <n v="108764.98"/>
        <n v="20810"/>
        <n v="12000"/>
        <n v="9249.0300000000007"/>
        <n v="19016.05"/>
        <n v="12148.38"/>
        <n v="201.59"/>
        <n v="1849.81"/>
        <n v="37731"/>
        <n v="2001.98"/>
        <n v="0"/>
        <n v="11549.1"/>
        <n v="323.17"/>
        <n v="235645.09"/>
        <n v="9033.8799999999992"/>
        <n v="495.93"/>
        <n v="9529.81"/>
        <n v="1871.11"/>
        <n v="4111.62"/>
        <n v="138.71"/>
        <n v="6121.44"/>
        <n v="1053.23"/>
        <n v="7119.31"/>
        <n v="3242.74"/>
        <n v="736.42"/>
        <n v="6141.99"/>
        <n v="18293.690000000002"/>
        <n v="70965.759999999995"/>
        <n v="10421.89"/>
        <n v="235"/>
        <n v="81622.649999999994"/>
        <n v="1031.27"/>
        <n v="156.78"/>
        <n v="512.20000000000005"/>
        <n v="1700.25"/>
        <n v="-24745.95"/>
        <n v="336.34"/>
        <n v="-12143.06"/>
        <n v="-36552.67"/>
        <n v="87208.29"/>
        <n v="403568.55000000005"/>
        <n v="276105.83999999997"/>
        <n v="326761.45999999996"/>
      </sharedItems>
    </cacheField>
    <cacheField name="20267" numFmtId="0">
      <sharedItems containsBlank="1" containsMixedTypes="1" containsNumber="1" minValue="-629471.90999999992" maxValue="414295.37" count="53">
        <s v="JUL"/>
        <m/>
        <n v="-388638.18"/>
        <n v="-24017.98"/>
        <n v="-120107.82"/>
        <n v="-54112.22"/>
        <n v="-31086.74"/>
        <n v="-11508.97"/>
        <n v="0"/>
        <n v="-629471.90999999992"/>
        <n v="213.46"/>
        <n v="-629258.44999999995"/>
        <n v="104603.36"/>
        <n v="15760"/>
        <n v="12377.19"/>
        <n v="9473.11"/>
        <n v="38953.96"/>
        <n v="1778.97"/>
        <n v="300.44"/>
        <n v="1876.89"/>
        <n v="37731"/>
        <n v="2001.98"/>
        <n v="2561.66"/>
        <n v="332.76"/>
        <n v="227751.32"/>
        <n v="9238.48"/>
        <n v="495.93"/>
        <n v="9734.41"/>
        <n v="3611.3"/>
        <n v="5703.73"/>
        <n v="9315.0299999999988"/>
        <n v="2534.0300000000002"/>
        <n v="5550.82"/>
        <n v="103.76"/>
        <n v="6346.72"/>
        <n v="14535.330000000002"/>
        <n v="62076.36"/>
        <n v="27954.19"/>
        <n v="109.09"/>
        <n v="90139.64"/>
        <n v="1031.27"/>
        <n v="176.04"/>
        <n v="512.20000000000005"/>
        <n v="1719.51"/>
        <n v="-29134.52"/>
        <n v="558.87"/>
        <n v="-331.3"/>
        <n v="3415.18"/>
        <n v="-25491.77"/>
        <n v="86591.9"/>
        <n v="414295.37"/>
        <n v="214963.07999999996"/>
        <n v="276063.20999999996"/>
      </sharedItems>
    </cacheField>
    <cacheField name="20268" numFmtId="0">
      <sharedItems containsBlank="1" containsMixedTypes="1" containsNumber="1" minValue="-647422.59" maxValue="386060.85000000003" count="54">
        <s v="AUG"/>
        <m/>
        <n v="-395645.38"/>
        <n v="-21081.99"/>
        <n v="-119115.56"/>
        <n v="-57691.48"/>
        <n v="-35749.89"/>
        <n v="-11508.93"/>
        <n v="0"/>
        <n v="-640793.23"/>
        <n v="-6629.36"/>
        <n v="-647422.59"/>
        <n v="110330.54"/>
        <n v="21115"/>
        <n v="12148.28"/>
        <n v="9384.4699999999993"/>
        <n v="19562.45"/>
        <n v="2653.98"/>
        <n v="496.11"/>
        <n v="1876.89"/>
        <n v="37731"/>
        <n v="2001.98"/>
        <n v="2751.29"/>
        <n v="332.76"/>
        <n v="220384.75000000003"/>
        <n v="9238.48"/>
        <n v="495.93"/>
        <n v="9734.41"/>
        <n v="7567.95"/>
        <n v="66.11"/>
        <n v="7634.0599999999995"/>
        <n v="3623.75"/>
        <n v="2800"/>
        <n v="3150"/>
        <n v="785.37"/>
        <n v="4091.37"/>
        <n v="14450.490000000002"/>
        <n v="174.24"/>
        <n v="52322.69"/>
        <n v="18879.330000000002"/>
        <n v="186.17"/>
        <n v="71562.430000000008"/>
        <n v="1031.27"/>
        <n v="176.04"/>
        <n v="512.20000000000005"/>
        <n v="1719.51"/>
        <n v="-31700.99"/>
        <n v="302.18"/>
        <n v="5880.06"/>
        <n v="-25518.75"/>
        <n v="86093.95"/>
        <n v="386060.85000000003"/>
        <n v="261361.73999999993"/>
        <n v="321936.93999999994"/>
      </sharedItems>
    </cacheField>
    <cacheField name="20269" numFmtId="0">
      <sharedItems containsBlank="1" containsMixedTypes="1" containsNumber="1" minValue="-5009275.1499999985" maxValue="2953442.3800000004"/>
    </cacheField>
    <cacheField name="202513" numFmtId="0">
      <sharedItems containsBlank="1" containsMixedTypes="1" containsNumber="1" minValue="-6773791.2300000004" maxValue="4065810.74"/>
    </cacheField>
    <cacheField name="202413" numFmtId="0">
      <sharedItems containsBlank="1" containsMixedTypes="1" containsNumber="1" minValue="-5634560.6799999997" maxValue="3226011.98"/>
    </cacheField>
    <cacheField name="202313" numFmtId="0">
      <sharedItems containsBlank="1" containsMixedTypes="1" containsNumber="1" minValue="-4454123.6500000004" maxValue="2603192.63"/>
    </cacheField>
    <cacheField name="FY2027" numFmtId="0">
      <sharedItems containsBlank="1" containsMixedTypes="1" containsNumber="1" minValue="-3216892.9899999998" maxValue="1910625.7200000002" count="60">
        <s v="Total"/>
        <m/>
        <n v="-1957529"/>
        <n v="-113850.19"/>
        <n v="-642772.07999999996"/>
        <n v="-254935.72"/>
        <n v="-151144.81"/>
        <n v="-56495.380000000005"/>
        <n v="-40165.81"/>
        <n v="-3216892.9899999998"/>
        <n v="22483.699999999997"/>
        <n v="-3194409.29"/>
        <n v="541228.84"/>
        <n v="57685"/>
        <n v="0"/>
        <n v="60585.130000000005"/>
        <n v="46604.670000000006"/>
        <n v="115564.55999999998"/>
        <n v="23148.1"/>
        <n v="2152.0500000000002"/>
        <n v="9303.2100000000009"/>
        <n v="188655"/>
        <n v="10009.9"/>
        <n v="25565.72"/>
        <n v="1644.6200000000001"/>
        <n v="1082146.8"/>
        <n v="45772.92"/>
        <n v="2479.65"/>
        <n v="48252.570000000007"/>
        <n v="6223.6100000000006"/>
        <n v="28477.47"/>
        <n v="335.84000000000003"/>
        <n v="35036.92"/>
        <n v="21378.170000000002"/>
        <n v="17870.13"/>
        <n v="3242.74"/>
        <n v="3150"/>
        <n v="2076.9299999999998"/>
        <n v="29068.780000000002"/>
        <n v="76786.750000000015"/>
        <n v="3389.77"/>
        <n v="916.74"/>
        <n v="282211.93"/>
        <n v="92941.01"/>
        <n v="1738.5"/>
        <n v="381197.94999999995"/>
        <n v="5156.3500000000004"/>
        <n v="880.19999999999993"/>
        <n v="2561"/>
        <n v="8597.5500000000011"/>
        <n v="-136793.26999999999"/>
        <n v="1798.41"/>
        <n v="-642.94000000000005"/>
        <n v="0.4"/>
        <n v="2611.190000000001"/>
        <n v="-133026.21000000002"/>
        <n v="411633.38999999996"/>
        <n v="1910625.7200000002"/>
        <n v="1283783.5699999998"/>
        <n v="1562390.7499999998"/>
      </sharedItems>
    </cacheField>
    <cacheField name="FY2026" numFmtId="0">
      <sharedItems containsBlank="1" containsMixedTypes="1" containsNumber="1" minValue="-7036925.5699999984" maxValue="4185868.3899999997" count="63">
        <s v="Total"/>
        <m/>
        <n v="-4437011.91"/>
        <n v="-216097.65000000005"/>
        <n v="-1443033.7699999998"/>
        <n v="-479662.36000000004"/>
        <n v="-315351.57999999996"/>
        <n v="-78815.199999999997"/>
        <n v="-66953.099999999991"/>
        <n v="-7036925.5699999984"/>
        <n v="91709.41"/>
        <n v="-6945216.1600000001"/>
        <n v="1173993.4799999997"/>
        <n v="164073"/>
        <n v="40275"/>
        <n v="131405.06"/>
        <n v="99144.56"/>
        <n v="0"/>
        <n v="3049.52"/>
        <n v="237571.57"/>
        <n v="21194.99"/>
        <n v="19426.790000000005"/>
        <n v="19811.45"/>
        <n v="379383.96000000014"/>
        <n v="24023.759999999998"/>
        <n v="56925.079999999994"/>
        <n v="5583.52"/>
        <n v="2375861.7400000002"/>
        <n v="106251.84000000003"/>
        <n v="6099.1200000000008"/>
        <n v="112350.95999999999"/>
        <n v="8732.98"/>
        <n v="559.49"/>
        <n v="54831.469999999994"/>
        <n v="944.76"/>
        <n v="65068.700000000004"/>
        <n v="58764.380000000005"/>
        <n v="33353.740000000005"/>
        <n v="29511.370000000003"/>
        <n v="25319.05"/>
        <n v="144423.44000000003"/>
        <n v="291371.98"/>
        <n v="2782.24"/>
        <n v="6885.51"/>
        <n v="443751.37"/>
        <n v="157656.39000000001"/>
        <n v="11352.570000000002"/>
        <n v="622428.07999999996"/>
        <n v="12375.240000000003"/>
        <n v="2228.0400000000004"/>
        <n v="6146.3999999999987"/>
        <n v="20749.679999999997"/>
        <n v="-266666.8"/>
        <n v="3583.57"/>
        <n v="-760.51"/>
        <n v="334"/>
        <n v="242.59"/>
        <n v="19668.059999999998"/>
        <n v="-243599.09000000003"/>
        <n v="941636.34"/>
        <n v="4185868.3899999997"/>
        <n v="2759347.7699999996"/>
        <n v="3457385.0199999996"/>
      </sharedItems>
    </cacheField>
    <cacheField name="FY2025" numFmtId="0">
      <sharedItems containsBlank="1" containsMixedTypes="1" containsNumber="1" minValue="-5896558.4399999995" maxValue="3469733.16" count="64">
        <s v="Total"/>
        <m/>
        <n v="-4005719.5300000003"/>
        <n v="-160908.66"/>
        <n v="-1145603.8900000001"/>
        <n v="-418326.6"/>
        <n v="-131903.26"/>
        <n v="0"/>
        <n v="-34096.5"/>
        <n v="-5896558.4399999995"/>
        <n v="152703.62"/>
        <n v="-5743854.8200000003"/>
        <n v="889432.69000000006"/>
        <n v="99197"/>
        <n v="27525"/>
        <n v="112905.73"/>
        <n v="68028.36"/>
        <n v="5600"/>
        <n v="167868.87000000002"/>
        <n v="8086.61"/>
        <n v="14323.3"/>
        <n v="372495.96000000014"/>
        <n v="24023.759999999998"/>
        <n v="70413.39"/>
        <n v="17109"/>
        <n v="3655.6"/>
        <n v="1880665.27"/>
        <n v="79204.76999999999"/>
        <n v="5229.8900000000003"/>
        <n v="1472.61"/>
        <n v="85907.269999999975"/>
        <n v="9685.8799999999992"/>
        <n v="648.6"/>
        <n v="48201.380000000005"/>
        <n v="785.82999999999993"/>
        <n v="59321.69000000001"/>
        <n v="55772.380000000005"/>
        <n v="10469.74"/>
        <n v="7713.46"/>
        <n v="1044.03"/>
        <n v="33874.640000000007"/>
        <n v="24786.079999999998"/>
        <n v="109465.88"/>
        <n v="243126.21"/>
        <n v="30135.759999999998"/>
        <n v="428600.15"/>
        <n v="165524.84999999998"/>
        <n v="6916.94"/>
        <n v="631177.69999999995"/>
        <n v="12286.270000000002"/>
        <n v="2032.4200000000003"/>
        <n v="2146.17"/>
        <n v="16464.86"/>
        <n v="-198202.27000000002"/>
        <n v="3515.0200000000004"/>
        <n v="-405.84000000000003"/>
        <n v="60.88"/>
        <n v="-10440.270000000004"/>
        <n v="-1218.51"/>
        <n v="-206690.99"/>
        <n v="759761.14999999991"/>
        <n v="3469733.16"/>
        <n v="2274121.6599999997"/>
        <n v="2827191.8199999994"/>
      </sharedItems>
    </cacheField>
    <cacheField name="FY2024" numFmtId="0">
      <sharedItems containsBlank="1" containsMixedTypes="1" containsNumber="1" minValue="-4754476.6000000006" maxValue="2732645.22"/>
    </cacheField>
    <cacheField name="FY2023" numFmtId="0">
      <sharedItems containsBlank="1" containsMixedTypes="1" containsNumber="1" minValue="-4379404.21" maxValue="2315664.4900000002"/>
    </cacheField>
    <cacheField name="FY2022" numFmtId="0">
      <sharedItems containsBlank="1" containsMixedTypes="1" containsNumber="1" minValue="-794829.6399999999" maxValue="532634.67999999993"/>
    </cacheField>
    <cacheField name="Remarks" numFmtId="0">
      <sharedItems containsBlank="1" count="6">
        <m/>
        <s v="COGS"/>
        <s v="Personnel"/>
        <s v="General"/>
        <s v="Interest"/>
        <s v="Tax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 "/>
    <s v="January"/>
    <s v="Februari"/>
    <s v="March"/>
    <s v="April"/>
    <s v="May"/>
    <s v="June"/>
    <s v="July"/>
    <s v="August"/>
    <s v="September"/>
    <s v="October"/>
    <s v="November"/>
    <s v="December"/>
    <s v="January"/>
    <s v="February"/>
    <s v="March"/>
    <s v="April"/>
    <s v="May"/>
    <s v="June"/>
    <s v="July"/>
    <s v="August"/>
    <s v="September"/>
    <s v="October"/>
    <s v="November"/>
    <s v="December"/>
    <s v="January"/>
    <s v="February"/>
    <s v="March"/>
    <x v="0"/>
    <x v="0"/>
    <s v="June"/>
    <s v="July"/>
    <s v="August"/>
    <s v="September"/>
    <s v="October"/>
    <s v="November"/>
    <s v="December"/>
    <x v="0"/>
    <s v="February"/>
    <s v="March"/>
    <s v="April"/>
    <s v="May"/>
    <s v="June"/>
    <s v="Jul"/>
    <s v="Aug"/>
    <s v="Sep"/>
    <s v="OCT"/>
    <s v="NOV"/>
    <s v="DEC"/>
    <s v="JAN"/>
    <s v="FEB"/>
    <s v="MAR"/>
    <x v="0"/>
    <x v="0"/>
    <x v="0"/>
    <x v="0"/>
    <x v="0"/>
    <s v="Total"/>
    <s v="Total"/>
    <s v="Total"/>
    <s v="Total"/>
    <x v="0"/>
    <x v="0"/>
    <x v="0"/>
    <s v="Total"/>
    <s v="Total"/>
    <s v="Total"/>
    <x v="0"/>
  </r>
  <r>
    <s v="Profit and loss statement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Gross margin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Turnover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8400 - Turnover Airline"/>
    <n v="-212427.24"/>
    <n v="-209910.73"/>
    <n v="-237563.67"/>
    <n v="-246794.29"/>
    <n v="-252583.71"/>
    <n v="-253028.07"/>
    <n v="-267357.32"/>
    <n v="-269824.48"/>
    <n v="-264391.88"/>
    <n v="-272661.31"/>
    <n v="-269216.39"/>
    <n v="-276889.25"/>
    <n v="-277258.01"/>
    <n v="-248239.08"/>
    <n v="-269843.96000000002"/>
    <n v="-271187.49"/>
    <n v="-284521.21999999997"/>
    <n v="-281341.13"/>
    <n v="-294459.8"/>
    <n v="-304733.90000000002"/>
    <n v="-297410.76"/>
    <n v="-305591.18"/>
    <n v="-300657.98"/>
    <n v="-310981.73"/>
    <n v="-307101.27"/>
    <n v="-290242.86"/>
    <n v="-313453.27"/>
    <x v="2"/>
    <x v="2"/>
    <n v="-322160.90000000002"/>
    <n v="-341088.88"/>
    <n v="-338087.72"/>
    <n v="-337908.82"/>
    <n v="-354813.3"/>
    <n v="-338698.12"/>
    <n v="-341338.41"/>
    <x v="2"/>
    <n v="-310960.83"/>
    <n v="-327130.77"/>
    <n v="-333743.46999999997"/>
    <n v="-347838.97"/>
    <n v="-341992.87"/>
    <n v="-330219.64"/>
    <n v="-355833.33"/>
    <n v="-390061.92"/>
    <n v="-415418.59"/>
    <n v="-390237.42"/>
    <n v="-393057.44"/>
    <n v="-338776.69"/>
    <n v="-372164.38"/>
    <n v="-427667.19"/>
    <x v="2"/>
    <x v="2"/>
    <x v="2"/>
    <x v="2"/>
    <x v="2"/>
    <n v="-3096137.2600000002"/>
    <n v="-4280348.32"/>
    <n v="-3934572.2599999993"/>
    <n v="-3446226.2400000007"/>
    <x v="2"/>
    <x v="2"/>
    <x v="2"/>
    <n v="-3561682.59"/>
    <n v="-3168087.75"/>
    <n v="-659901.64"/>
    <x v="0"/>
  </r>
  <r>
    <s v="8401 - Turnover Airport"/>
    <n v="-1250"/>
    <n v="-1250"/>
    <n v="-1250"/>
    <n v="-1250"/>
    <n v="-1250"/>
    <n v="-1250"/>
    <n v="-1250"/>
    <n v="-1250"/>
    <n v="-1479.45"/>
    <n v="-1528.77"/>
    <n v="-1479.45"/>
    <n v="-1528.77"/>
    <n v="-1528.77"/>
    <n v="-1380.82"/>
    <n v="-1528.77"/>
    <n v="-1479.45"/>
    <n v="-1528.77"/>
    <n v="-1479.45"/>
    <n v="-1528.77"/>
    <n v="-1528.76"/>
    <n v="-1557.38"/>
    <n v="-1609.29"/>
    <n v="-1557.38"/>
    <n v="-1609.29"/>
    <n v="-1609.29"/>
    <n v="-4476.7700000000004"/>
    <n v="-4785.5200000000004"/>
    <x v="3"/>
    <x v="3"/>
    <n v="-7085.7"/>
    <n v="-10464.35"/>
    <n v="-10464.34"/>
    <n v="-10254.35"/>
    <n v="-11406.74"/>
    <n v="-31778.52"/>
    <n v="-15228.66"/>
    <x v="3"/>
    <n v="-16354.26"/>
    <n v="-16736.43"/>
    <n v="-13113.21"/>
    <n v="-13550.32"/>
    <n v="-15900.52"/>
    <n v="-15094.91"/>
    <n v="-18067.490000000002"/>
    <n v="-21385.45"/>
    <n v="-20809.38"/>
    <n v="-19398.37"/>
    <n v="-18855.91"/>
    <n v="-19280.63"/>
    <n v="-20464.36"/>
    <n v="-20177.099999999999"/>
    <x v="3"/>
    <x v="3"/>
    <x v="3"/>
    <x v="3"/>
    <x v="3"/>
    <n v="-173772.28"/>
    <n v="-205993.98"/>
    <n v="-121961.82"/>
    <n v="-18316.900000000005"/>
    <x v="3"/>
    <x v="3"/>
    <x v="3"/>
    <n v="-24750.120000000006"/>
    <n v="-16704.8"/>
    <n v="-3750"/>
    <x v="0"/>
  </r>
  <r>
    <s v="8402 - Turnover Forwarder"/>
    <n v="-43980.67"/>
    <n v="-39813.99"/>
    <n v="-43817.99"/>
    <n v="-39399.769999999997"/>
    <n v="-45229.8"/>
    <n v="-48084.1"/>
    <n v="-45965.17"/>
    <n v="-47040.56"/>
    <n v="-45730.17"/>
    <n v="-50671.38"/>
    <n v="-49243.87"/>
    <n v="-47696.38"/>
    <n v="-49253.49"/>
    <n v="-48112.1"/>
    <n v="-53848.02"/>
    <n v="-62216.51"/>
    <n v="-64716.2"/>
    <n v="-69475.77"/>
    <n v="-66092.95"/>
    <n v="-71573.98"/>
    <n v="-69478.960000000006"/>
    <n v="-71975.539999999994"/>
    <n v="-69653.77"/>
    <n v="-75151.78"/>
    <n v="-79783.88"/>
    <n v="-74789.33"/>
    <n v="-82348.7"/>
    <x v="4"/>
    <x v="4"/>
    <n v="-84957.82"/>
    <n v="-86055.81"/>
    <n v="-86204.82"/>
    <n v="-83423.990000000005"/>
    <n v="-94015.56"/>
    <n v="-94782.04"/>
    <n v="-109973.56"/>
    <x v="4"/>
    <n v="-108473.19"/>
    <n v="-121322.7"/>
    <n v="-113455.67"/>
    <n v="-112015.39"/>
    <n v="-125642.1"/>
    <n v="-111480.63"/>
    <n v="-118759.92"/>
    <n v="-136045.4"/>
    <n v="-126846.93"/>
    <n v="-122927.72"/>
    <n v="-131613.18"/>
    <n v="-127494.89"/>
    <n v="-95533.78"/>
    <n v="-121218.16"/>
    <x v="4"/>
    <x v="4"/>
    <x v="4"/>
    <x v="4"/>
    <x v="4"/>
    <n v="-987018.91000000015"/>
    <n v="-1450283.1999999997"/>
    <n v="-1031029.5400000003"/>
    <n v="-771549.07000000007"/>
    <x v="4"/>
    <x v="4"/>
    <x v="4"/>
    <n v="-857257.36999999988"/>
    <n v="-570274.80999999994"/>
    <n v="-127612.65"/>
    <x v="0"/>
  </r>
  <r>
    <s v="8403 - Turnover GSA"/>
    <n v="-1178.08"/>
    <n v="-1178.08"/>
    <n v="-1305.48"/>
    <n v="-1301.3699999999999"/>
    <n v="-1714.98"/>
    <n v="-139.44999999999999"/>
    <n v="-1228.9000000000001"/>
    <n v="-1228.9000000000001"/>
    <n v="-1072.28"/>
    <n v="-1103.9000000000001"/>
    <n v="-1070.58"/>
    <n v="-1106.27"/>
    <n v="-5678.2"/>
    <n v="-3706.16"/>
    <n v="-4103.29"/>
    <n v="-6196.56"/>
    <n v="-3878.29"/>
    <n v="-3937.55"/>
    <n v="-7008.05"/>
    <n v="-6232.23"/>
    <n v="-12845.95"/>
    <n v="-23390.47"/>
    <n v="-31187.83"/>
    <n v="-32227.38"/>
    <n v="-32795.629999999997"/>
    <n v="-31066.25"/>
    <n v="-33463.22"/>
    <x v="5"/>
    <x v="5"/>
    <n v="-45556.51"/>
    <n v="-28681.02"/>
    <n v="-28887.87"/>
    <n v="-23817.74"/>
    <n v="-29959.89"/>
    <n v="-32416.99"/>
    <n v="-35923.599999999999"/>
    <x v="5"/>
    <n v="-33562.089999999997"/>
    <n v="-36781.879999999997"/>
    <n v="-38365.620000000003"/>
    <n v="-35539.07"/>
    <n v="-34435.339999999997"/>
    <n v="-34085.519999999997"/>
    <n v="-33811.25"/>
    <n v="-34093.18"/>
    <n v="-38709.33"/>
    <n v="-41724.9"/>
    <n v="-54680.69"/>
    <n v="-45399.56"/>
    <n v="-43595.82"/>
    <n v="-45222.080000000002"/>
    <x v="5"/>
    <x v="5"/>
    <x v="5"/>
    <x v="5"/>
    <x v="5"/>
    <n v="-389153.18000000005"/>
    <n v="-453023.28"/>
    <n v="-408073.32"/>
    <n v="-140391.96"/>
    <x v="5"/>
    <x v="5"/>
    <x v="5"/>
    <n v="-224229.41"/>
    <n v="-23454.280000000002"/>
    <n v="-3661.64"/>
    <x v="0"/>
  </r>
  <r>
    <s v="8404 - Turnover Shipper"/>
    <m/>
    <m/>
    <m/>
    <m/>
    <m/>
    <m/>
    <m/>
    <m/>
    <n v="-805.48"/>
    <n v="-832.33"/>
    <n v="-805.48"/>
    <n v="-832.33"/>
    <n v="-832.33"/>
    <n v="-751.78"/>
    <n v="-832.33"/>
    <n v="-1952.13"/>
    <n v="-2017.2"/>
    <n v="-1952.13"/>
    <n v="-2017.2"/>
    <n v="-2017.19"/>
    <n v="-1146.6500000000001"/>
    <n v="-1184.8699999999999"/>
    <n v="-1146.6500000000001"/>
    <n v="-3861.06"/>
    <n v="-3861.06"/>
    <n v="-3611.95"/>
    <n v="-3861.06"/>
    <x v="6"/>
    <x v="6"/>
    <n v="-10186.290000000001"/>
    <n v="-10525.84"/>
    <n v="-10525.84"/>
    <n v="-12487.66"/>
    <n v="-12903.92"/>
    <n v="-14131.5"/>
    <n v="-11890.46"/>
    <x v="6"/>
    <n v="-10298.370000000001"/>
    <n v="-16709.97"/>
    <n v="-21543.98"/>
    <n v="-22262.09"/>
    <n v="-23023.43"/>
    <n v="-23790.87"/>
    <n v="-23790.9"/>
    <n v="-20614.21"/>
    <n v="-29881.85"/>
    <n v="-33710.839999999997"/>
    <n v="-33536.49"/>
    <n v="-28631.22"/>
    <n v="-25860.44"/>
    <n v="-28705.26"/>
    <x v="6"/>
    <x v="6"/>
    <x v="6"/>
    <x v="6"/>
    <x v="6"/>
    <n v="-234341.72999999998"/>
    <n v="-270564.75"/>
    <n v="-104827.23999999999"/>
    <n v="-19711.52"/>
    <x v="6"/>
    <x v="6"/>
    <x v="6"/>
    <n v="-28629.15"/>
    <n v="-5692.0599999999995"/>
    <n v="0"/>
    <x v="0"/>
  </r>
  <r>
    <s v="8405 - Turnover Other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n v="0"/>
    <n v="-439.92"/>
    <n v="-425.73"/>
    <n v="-4807.7"/>
    <n v="-7136.47"/>
    <n v="-8762.2000000000007"/>
    <n v="-9054.2800000000007"/>
    <n v="-8762.2000000000007"/>
    <n v="-9054.2800000000007"/>
    <n v="-10461.61"/>
    <n v="-9449.2000000000007"/>
    <n v="-10461.61"/>
    <x v="7"/>
    <x v="7"/>
    <x v="7"/>
    <x v="7"/>
    <x v="7"/>
    <n v="-86867.799999999988"/>
    <n v="-48442.78"/>
    <n v="0"/>
    <m/>
    <x v="7"/>
    <x v="7"/>
    <x v="7"/>
    <m/>
    <m/>
    <m/>
    <x v="0"/>
  </r>
  <r>
    <s v="8500 - Turnover adjustments prior financial year"/>
    <m/>
    <m/>
    <n v="96.29"/>
    <n v="-0.01"/>
    <n v="-10000.01"/>
    <n v="-4596.2700000000004"/>
    <m/>
    <m/>
    <m/>
    <n v="-6875"/>
    <m/>
    <m/>
    <m/>
    <m/>
    <m/>
    <n v="-12488.75"/>
    <n v="-40291.67"/>
    <m/>
    <m/>
    <m/>
    <m/>
    <n v="123.29"/>
    <n v="-1770.83"/>
    <n v="-3500"/>
    <m/>
    <m/>
    <m/>
    <x v="7"/>
    <x v="7"/>
    <n v="0"/>
    <n v="-7732.5"/>
    <n v="0"/>
    <n v="-15249.32"/>
    <n v="3188.78"/>
    <n v="0"/>
    <n v="-11095"/>
    <x v="7"/>
    <n v="0"/>
    <n v="0"/>
    <n v="-14042.64"/>
    <n v="-13576.78"/>
    <n v="-8708"/>
    <n v="0"/>
    <n v="-6542"/>
    <n v="188"/>
    <n v="-15571.5"/>
    <n v="-5000"/>
    <n v="-1882"/>
    <n v="0"/>
    <n v="-1818.18"/>
    <n v="0"/>
    <x v="8"/>
    <x v="8"/>
    <x v="8"/>
    <x v="8"/>
    <x v="8"/>
    <n v="-41983.99"/>
    <n v="-65134.92"/>
    <n v="-34096.5"/>
    <n v="-57927.96"/>
    <x v="8"/>
    <x v="8"/>
    <x v="8"/>
    <n v="-57927.96"/>
    <n v="-21471.29"/>
    <n v="96.29"/>
    <x v="0"/>
  </r>
  <r>
    <s v="Total: Turnover"/>
    <n v="-258835.99"/>
    <n v="-252152.8"/>
    <n v="-283840.84999999998"/>
    <n v="-288745.44"/>
    <n v="-310778.5"/>
    <n v="-307097.89"/>
    <n v="-315801.39"/>
    <n v="-319343.94"/>
    <n v="-313479.26"/>
    <n v="-333672.69"/>
    <n v="-321815.77"/>
    <n v="-328053"/>
    <n v="-334550.8"/>
    <n v="-302189.94"/>
    <n v="-330156.37"/>
    <n v="-355520.89"/>
    <n v="-396953.35"/>
    <n v="-358186.03"/>
    <n v="-371106.77"/>
    <n v="-386086.06"/>
    <n v="-382439.70000000007"/>
    <n v="-403628.06"/>
    <n v="-405974.44000000006"/>
    <n v="-427331.23999999993"/>
    <n v="-425151.13"/>
    <n v="-404187.16000000003"/>
    <n v="-437911.77000000008"/>
    <x v="8"/>
    <x v="8"/>
    <n v="-469947.22000000003"/>
    <n v="-484548.4"/>
    <n v="-474170.59"/>
    <n v="-483141.87999999995"/>
    <n v="-499910.62999999995"/>
    <n v="-511807.17"/>
    <n v="-525449.68999999994"/>
    <x v="8"/>
    <n v="-479648.74"/>
    <n v="-518681.75"/>
    <n v="-534264.59"/>
    <n v="-545222.54"/>
    <n v="-550127.99"/>
    <n v="-519479.27"/>
    <n v="-563941.36"/>
    <n v="-610774.36"/>
    <n v="-656291.86"/>
    <n v="-621761.44999999995"/>
    <n v="-642679.99"/>
    <n v="-570044.6"/>
    <n v="-568886.15999999992"/>
    <n v="-653451.39999999991"/>
    <x v="9"/>
    <x v="9"/>
    <x v="9"/>
    <x v="9"/>
    <x v="9"/>
    <n v="-5009275.1499999985"/>
    <n v="-6773791.2300000004"/>
    <n v="-5634560.6799999997"/>
    <n v="-4454123.6500000004"/>
    <x v="9"/>
    <x v="9"/>
    <x v="9"/>
    <n v="-4754476.6000000006"/>
    <n v="-3805684.9899999998"/>
    <n v="-794829.6399999999"/>
    <x v="0"/>
  </r>
  <r>
    <s v="Cost of sal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n v="0"/>
    <n v="0"/>
    <n v="0"/>
    <n v="0"/>
    <n v="0"/>
    <n v="0"/>
    <n v="0"/>
    <n v="0"/>
    <n v="0"/>
    <n v="0"/>
    <n v="0"/>
    <m/>
    <x v="1"/>
    <x v="1"/>
    <x v="1"/>
    <x v="1"/>
    <x v="1"/>
    <m/>
    <m/>
    <m/>
    <m/>
    <x v="1"/>
    <x v="1"/>
    <x v="1"/>
    <m/>
    <m/>
    <m/>
    <x v="0"/>
  </r>
  <r>
    <s v="7300 - Licensing fees"/>
    <n v="2485.56"/>
    <n v="2485.56"/>
    <n v="2485.56"/>
    <n v="2696.44"/>
    <n v="2591.4"/>
    <n v="2588.59"/>
    <n v="1692.73"/>
    <n v="1301.3800000000001"/>
    <n v="2021.64"/>
    <n v="4256.76"/>
    <n v="4283.55"/>
    <n v="4500.32"/>
    <n v="3955.2"/>
    <n v="5371.92"/>
    <n v="5080.2299999999996"/>
    <n v="5047.62"/>
    <n v="5654.3"/>
    <n v="4938.7"/>
    <n v="7019.09"/>
    <n v="9676.9699999999993"/>
    <n v="7319.91"/>
    <n v="9276.64"/>
    <n v="6103.61"/>
    <n v="5275.25"/>
    <n v="5617.87"/>
    <n v="7488.15"/>
    <n v="7142.85"/>
    <x v="9"/>
    <x v="9"/>
    <n v="36583.339999999997"/>
    <n v="25780.1"/>
    <n v="5822.75"/>
    <n v="6136.45"/>
    <n v="55014.13"/>
    <n v="1860.7"/>
    <n v="1929.01"/>
    <x v="9"/>
    <n v="2029.5"/>
    <n v="1801.75"/>
    <n v="539.19000000000005"/>
    <n v="486.38"/>
    <n v="805.44"/>
    <n v="2615.38"/>
    <n v="2744.64"/>
    <n v="2810.74"/>
    <n v="4828.72"/>
    <n v="6554.09"/>
    <n v="6772.57"/>
    <n v="32072.6"/>
    <n v="16499.66"/>
    <n v="14980"/>
    <x v="10"/>
    <x v="10"/>
    <x v="10"/>
    <x v="10"/>
    <x v="10"/>
    <n v="86035.96"/>
    <n v="33923.279999999999"/>
    <n v="167186.36000000002"/>
    <n v="74719.44"/>
    <x v="10"/>
    <x v="10"/>
    <x v="10"/>
    <n v="80560.959999999992"/>
    <n v="40340.160000000003"/>
    <n v="7456.68"/>
    <x v="0"/>
  </r>
  <r>
    <s v="Total: Cost of sales"/>
    <n v="2485.56"/>
    <n v="2485.56"/>
    <n v="2485.56"/>
    <n v="2696.44"/>
    <n v="2591.4"/>
    <n v="2588.59"/>
    <n v="1692.73"/>
    <n v="1301.3800000000001"/>
    <n v="2021.64"/>
    <n v="4256.76"/>
    <n v="4283.55"/>
    <n v="4500.32"/>
    <n v="3955.2"/>
    <n v="5371.92"/>
    <n v="5080.2299999999996"/>
    <n v="5047.62"/>
    <n v="5654.3"/>
    <n v="4938.7"/>
    <n v="7019.09"/>
    <n v="9676.9699999999993"/>
    <n v="7319.91"/>
    <n v="9276.64"/>
    <n v="6103.61"/>
    <n v="5275.25"/>
    <n v="5617.87"/>
    <n v="7488.15"/>
    <n v="7142.85"/>
    <x v="9"/>
    <x v="9"/>
    <n v="36583.339999999997"/>
    <n v="25780.1"/>
    <n v="5822.75"/>
    <n v="6136.45"/>
    <n v="55014.13"/>
    <n v="1860.7"/>
    <n v="1929.01"/>
    <x v="9"/>
    <n v="2029.5"/>
    <n v="1801.75"/>
    <n v="539.19000000000005"/>
    <n v="486.38"/>
    <n v="805.44"/>
    <n v="2615.38"/>
    <n v="2744.64"/>
    <n v="2810.74"/>
    <n v="4828.72"/>
    <n v="6554.09"/>
    <n v="6772.57"/>
    <n v="32072.6"/>
    <n v="16499.66"/>
    <n v="14980"/>
    <x v="10"/>
    <x v="10"/>
    <x v="10"/>
    <x v="10"/>
    <x v="10"/>
    <n v="86035.96"/>
    <n v="33923.279999999999"/>
    <n v="167186.36000000002"/>
    <n v="74719.44"/>
    <x v="10"/>
    <x v="10"/>
    <x v="10"/>
    <n v="80560.959999999992"/>
    <n v="40340.160000000003"/>
    <n v="7456.68"/>
    <x v="1"/>
  </r>
  <r>
    <s v="Total: Gross margin"/>
    <n v="-256350.43"/>
    <n v="-249667.24"/>
    <n v="-281355.28999999998"/>
    <n v="-286049"/>
    <n v="-308187.09999999998"/>
    <n v="-304509.3"/>
    <n v="-314108.65999999997"/>
    <n v="-318042.56"/>
    <n v="-311457.62"/>
    <n v="-329415.93"/>
    <n v="-317532.21999999997"/>
    <n v="-323552.68"/>
    <n v="-330595.59999999998"/>
    <n v="-296818.02"/>
    <n v="-325076.14"/>
    <n v="-350473.27"/>
    <n v="-391299.05"/>
    <n v="-353247.33"/>
    <n v="-364087.68"/>
    <n v="-376409.09"/>
    <n v="-375119.7900000001"/>
    <n v="-394351.42"/>
    <n v="-399870.83000000007"/>
    <n v="-422055.98999999993"/>
    <n v="-419533.26"/>
    <n v="-396699.01"/>
    <n v="-430768.9200000001"/>
    <x v="10"/>
    <x v="10"/>
    <n v="-433363.88"/>
    <n v="-458768.30000000005"/>
    <n v="-468347.84"/>
    <n v="-477005.42999999993"/>
    <n v="-444896.49999999994"/>
    <n v="-509946.47"/>
    <n v="-523520.67999999993"/>
    <x v="10"/>
    <n v="-477619.24"/>
    <n v="-516880"/>
    <n v="-533725.4"/>
    <n v="-544736.16"/>
    <n v="-549322.55000000005"/>
    <n v="-516863.89"/>
    <n v="-561196.72"/>
    <n v="-607963.62"/>
    <n v="-651463.14"/>
    <n v="-615207.36"/>
    <n v="-635907.42000000004"/>
    <n v="-537972"/>
    <n v="-552386.49999999988"/>
    <n v="-638471.39999999991"/>
    <x v="11"/>
    <x v="11"/>
    <x v="11"/>
    <x v="11"/>
    <x v="11"/>
    <n v="-4923239.1899999995"/>
    <n v="-6739867.9500000002"/>
    <n v="-5467374.3199999994"/>
    <n v="-4379404.21"/>
    <x v="11"/>
    <x v="11"/>
    <x v="11"/>
    <n v="-4673915.6399999997"/>
    <n v="-4379404.21"/>
    <n v="-787372.96"/>
    <x v="0"/>
  </r>
  <r>
    <s v="Operating cost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Personnel Expens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4000 - Gross salary"/>
    <n v="28519.01"/>
    <n v="28519.01"/>
    <n v="28519.01"/>
    <n v="28820.080000000002"/>
    <n v="28991.51"/>
    <n v="28991.51"/>
    <n v="32516.51"/>
    <n v="32516.51"/>
    <n v="38289.29"/>
    <n v="39241.51"/>
    <n v="39054.01"/>
    <n v="39054.01"/>
    <n v="43754.01"/>
    <n v="46056.480000000003"/>
    <n v="44607.85"/>
    <n v="39759.99"/>
    <n v="40177.99"/>
    <n v="40627.99"/>
    <n v="40909.99"/>
    <n v="42866.51"/>
    <n v="46303.53"/>
    <n v="46330.74"/>
    <n v="46330.74"/>
    <n v="49830.74"/>
    <n v="57004.59"/>
    <n v="57178.5"/>
    <n v="57178.5"/>
    <x v="11"/>
    <x v="11"/>
    <n v="70460.5"/>
    <n v="70460.5"/>
    <n v="69446.38"/>
    <n v="77238.38"/>
    <n v="78423.38"/>
    <n v="74814.880000000005"/>
    <n v="74814.880000000005"/>
    <x v="11"/>
    <n v="86782.18"/>
    <n v="81010.67"/>
    <n v="90056.79"/>
    <n v="86782.18"/>
    <n v="89284.94"/>
    <n v="95960.18"/>
    <n v="96670.02"/>
    <n v="89043.18"/>
    <n v="102081.18"/>
    <n v="104414.66"/>
    <n v="104414.77"/>
    <n v="102341.06"/>
    <n v="103729.38"/>
    <n v="109215.14"/>
    <x v="12"/>
    <x v="12"/>
    <x v="12"/>
    <x v="12"/>
    <x v="12"/>
    <n v="856514.42"/>
    <n v="1109175.6899999997"/>
    <n v="810326.49"/>
    <n v="527556.55999999994"/>
    <x v="12"/>
    <x v="12"/>
    <x v="12"/>
    <n v="564499.80999999994"/>
    <n v="441893.27999999997"/>
    <n v="85557.03"/>
    <x v="0"/>
  </r>
  <r>
    <s v="4002 - Bonus pay"/>
    <m/>
    <m/>
    <n v="0"/>
    <m/>
    <m/>
    <n v="46739"/>
    <m/>
    <m/>
    <m/>
    <m/>
    <m/>
    <m/>
    <m/>
    <m/>
    <n v="16000"/>
    <m/>
    <m/>
    <n v="71644"/>
    <m/>
    <m/>
    <m/>
    <m/>
    <m/>
    <m/>
    <m/>
    <m/>
    <m/>
    <x v="12"/>
    <x v="12"/>
    <n v="0"/>
    <n v="0"/>
    <n v="97197"/>
    <n v="0"/>
    <n v="0"/>
    <n v="2000"/>
    <n v="0"/>
    <x v="7"/>
    <n v="0"/>
    <n v="0"/>
    <n v="0"/>
    <n v="0"/>
    <n v="159315"/>
    <n v="0"/>
    <n v="0"/>
    <n v="0"/>
    <n v="0"/>
    <n v="4758"/>
    <n v="0"/>
    <n v="0"/>
    <n v="0"/>
    <n v="0"/>
    <x v="13"/>
    <x v="13"/>
    <x v="13"/>
    <x v="13"/>
    <x v="13"/>
    <n v="57685"/>
    <n v="164073"/>
    <n v="99197"/>
    <n v="87644"/>
    <x v="13"/>
    <x v="13"/>
    <x v="13"/>
    <n v="71644"/>
    <n v="62739"/>
    <n v="0"/>
    <x v="0"/>
  </r>
  <r>
    <s v="4004 - Temporary staff"/>
    <m/>
    <m/>
    <m/>
    <m/>
    <m/>
    <m/>
    <m/>
    <m/>
    <m/>
    <m/>
    <m/>
    <m/>
    <m/>
    <m/>
    <m/>
    <m/>
    <m/>
    <m/>
    <m/>
    <m/>
    <m/>
    <m/>
    <m/>
    <m/>
    <m/>
    <m/>
    <m/>
    <x v="12"/>
    <x v="12"/>
    <n v="3075"/>
    <n v="2025"/>
    <n v="0"/>
    <n v="1725"/>
    <n v="7050"/>
    <n v="5775"/>
    <n v="2625"/>
    <x v="12"/>
    <n v="0"/>
    <n v="0"/>
    <n v="3525"/>
    <n v="0"/>
    <n v="3750"/>
    <n v="3112.5"/>
    <n v="3112.5"/>
    <n v="9525"/>
    <n v="8800"/>
    <n v="500"/>
    <n v="7950"/>
    <n v="7000"/>
    <n v="-7000"/>
    <n v="0"/>
    <x v="14"/>
    <x v="1"/>
    <x v="1"/>
    <x v="1"/>
    <x v="1"/>
    <n v="0"/>
    <n v="45525"/>
    <n v="22275"/>
    <n v="0"/>
    <x v="14"/>
    <x v="14"/>
    <x v="14"/>
    <m/>
    <m/>
    <m/>
    <x v="0"/>
  </r>
  <r>
    <s v="4006 - Pension premiums"/>
    <n v="2162.33"/>
    <n v="2150.08"/>
    <n v="2650.08"/>
    <n v="2150.08"/>
    <n v="2116.75"/>
    <n v="2150.08"/>
    <n v="2150.08"/>
    <n v="2150.08"/>
    <n v="2153.5100000000002"/>
    <n v="2163.46"/>
    <n v="4645.67"/>
    <n v="3748.88"/>
    <n v="3585.7"/>
    <n v="-500"/>
    <n v="3167.88"/>
    <n v="6980.16"/>
    <n v="4031.69"/>
    <n v="3000"/>
    <n v="3383.85"/>
    <n v="3000"/>
    <n v="3173.17"/>
    <n v="3120.39"/>
    <n v="6574.45"/>
    <n v="11299.45"/>
    <n v="6109.28"/>
    <n v="5610.89"/>
    <n v="7673.98"/>
    <x v="13"/>
    <x v="13"/>
    <n v="7207.26"/>
    <n v="8978"/>
    <n v="8018.49"/>
    <n v="17343.86"/>
    <n v="8421.93"/>
    <n v="7397.77"/>
    <n v="7261.31"/>
    <x v="13"/>
    <n v="6114.23"/>
    <n v="18925.47"/>
    <n v="-1302.99"/>
    <n v="-500"/>
    <n v="18122.48"/>
    <n v="-500"/>
    <n v="10989.73"/>
    <n v="22012.68"/>
    <n v="10756.34"/>
    <n v="18756.38"/>
    <n v="18750"/>
    <n v="8887.09"/>
    <n v="13117.15"/>
    <n v="12316.2"/>
    <x v="15"/>
    <x v="14"/>
    <x v="14"/>
    <x v="14"/>
    <x v="14"/>
    <n v="94905.57"/>
    <n v="131540.32999999999"/>
    <n v="97844.17"/>
    <n v="50816.739999999991"/>
    <x v="15"/>
    <x v="15"/>
    <x v="15"/>
    <n v="63957.31"/>
    <n v="29682.170000000002"/>
    <n v="6962.49"/>
    <x v="0"/>
  </r>
  <r>
    <s v="4015 - Holiday allowance"/>
    <n v="2281.52"/>
    <n v="2281.52"/>
    <n v="2281.52"/>
    <n v="2305.61"/>
    <n v="2319.3200000000002"/>
    <n v="2319.3200000000002"/>
    <n v="2601.3200000000002"/>
    <n v="2601.3200000000002"/>
    <n v="3063.14"/>
    <n v="3139.32"/>
    <n v="3124.32"/>
    <n v="3124.32"/>
    <n v="3500.32"/>
    <n v="3684.52"/>
    <n v="3568.63"/>
    <n v="3180.8"/>
    <n v="3214.24"/>
    <n v="3250.24"/>
    <n v="3272.8"/>
    <n v="3429.32"/>
    <n v="3704.28"/>
    <n v="3706.46"/>
    <n v="3706.46"/>
    <n v="3986.46"/>
    <n v="4400.37"/>
    <n v="4574.28"/>
    <n v="4574.28"/>
    <x v="14"/>
    <x v="14"/>
    <n v="5636.84"/>
    <n v="5636.84"/>
    <n v="5555.71"/>
    <n v="6179.07"/>
    <n v="2940.67"/>
    <n v="5985.19"/>
    <n v="5985.19"/>
    <x v="14"/>
    <n v="6942.58"/>
    <n v="6942.58"/>
    <n v="6942.58"/>
    <n v="6942.58"/>
    <n v="7142.8"/>
    <n v="7676.82"/>
    <n v="7733.6"/>
    <n v="8547.0499999999993"/>
    <n v="8703.57"/>
    <n v="8890.25"/>
    <n v="8782.2099999999991"/>
    <n v="9249.0300000000007"/>
    <n v="9249.0300000000007"/>
    <n v="9285.0400000000009"/>
    <x v="16"/>
    <x v="15"/>
    <x v="15"/>
    <x v="15"/>
    <x v="15"/>
    <n v="74387.77"/>
    <n v="91605.829999999987"/>
    <n v="61332.92"/>
    <n v="42204.53"/>
    <x v="16"/>
    <x v="16"/>
    <x v="16"/>
    <n v="44999.989999999991"/>
    <n v="35351.46"/>
    <n v="6844.5599999999995"/>
    <x v="0"/>
  </r>
  <r>
    <s v="4016 - Work from home allowance"/>
    <m/>
    <m/>
    <m/>
    <m/>
    <m/>
    <m/>
    <m/>
    <m/>
    <m/>
    <m/>
    <m/>
    <m/>
    <m/>
    <m/>
    <m/>
    <m/>
    <m/>
    <m/>
    <m/>
    <m/>
    <m/>
    <m/>
    <m/>
    <m/>
    <m/>
    <m/>
    <m/>
    <x v="12"/>
    <x v="12"/>
    <n v="0"/>
    <n v="0"/>
    <n v="0"/>
    <n v="0"/>
    <n v="0"/>
    <n v="0"/>
    <n v="2800"/>
    <x v="15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2800"/>
    <n v="2800"/>
    <n v="0"/>
    <x v="14"/>
    <x v="17"/>
    <x v="17"/>
    <n v="0"/>
    <n v="0"/>
    <n v="0"/>
    <x v="0"/>
  </r>
  <r>
    <s v="4017 - Employee Gift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n v="0"/>
    <n v="0"/>
    <n v="0"/>
    <n v="0"/>
    <n v="0"/>
    <n v="0"/>
    <n v="0"/>
    <n v="0"/>
    <n v="0"/>
    <n v="0"/>
    <n v="3049.52"/>
    <n v="0"/>
    <n v="0"/>
    <n v="0"/>
    <x v="14"/>
    <x v="1"/>
    <x v="1"/>
    <x v="1"/>
    <x v="1"/>
    <n v="0"/>
    <n v="3049.52"/>
    <n v="0"/>
    <m/>
    <x v="14"/>
    <x v="18"/>
    <x v="7"/>
    <m/>
    <m/>
    <m/>
    <x v="0"/>
  </r>
  <r>
    <s v="4041 - Social insurance premiums"/>
    <n v="5264.81"/>
    <n v="5264.81"/>
    <n v="5264.81"/>
    <n v="5288.69"/>
    <n v="4878.6499999999996"/>
    <n v="7218.42"/>
    <n v="5575.38"/>
    <n v="5575.38"/>
    <n v="6631.67"/>
    <n v="6692.53"/>
    <n v="6662.1"/>
    <n v="7708.16"/>
    <n v="8004.33"/>
    <n v="8198.0300000000007"/>
    <n v="8052.55"/>
    <n v="7345.49"/>
    <n v="7191.58"/>
    <n v="11591.22"/>
    <n v="7594.72"/>
    <n v="8012.44"/>
    <n v="8499.19"/>
    <n v="8496.48"/>
    <n v="8496.48"/>
    <n v="11807.84"/>
    <n v="10356.82"/>
    <n v="10823.79"/>
    <n v="10823.79"/>
    <x v="15"/>
    <x v="15"/>
    <n v="12406.66"/>
    <n v="10572.09"/>
    <n v="19763.04"/>
    <n v="13564.39"/>
    <n v="13818.92"/>
    <n v="13738.45"/>
    <n v="18827.09"/>
    <x v="16"/>
    <n v="15680.76"/>
    <n v="15680.76"/>
    <n v="15467.81"/>
    <n v="15467.81"/>
    <n v="28873.8"/>
    <n v="18031.72"/>
    <n v="17780.98"/>
    <n v="18745.18"/>
    <n v="19170.91"/>
    <n v="19548.75"/>
    <n v="26345.73"/>
    <n v="19665.7"/>
    <n v="19216.150000000001"/>
    <n v="19257.03"/>
    <x v="17"/>
    <x v="16"/>
    <x v="16"/>
    <x v="16"/>
    <x v="16"/>
    <n v="173703.44000000003"/>
    <n v="224037.19"/>
    <n v="155268.77000000002"/>
    <n v="103290.34999999999"/>
    <x v="17"/>
    <x v="19"/>
    <x v="18"/>
    <n v="111039.84000000003"/>
    <n v="80485.89"/>
    <n v="15794.43"/>
    <x v="0"/>
  </r>
  <r>
    <s v="4050 - Study and training expenses"/>
    <m/>
    <m/>
    <m/>
    <m/>
    <m/>
    <m/>
    <m/>
    <m/>
    <m/>
    <m/>
    <m/>
    <m/>
    <m/>
    <n v="5000"/>
    <m/>
    <m/>
    <m/>
    <n v="10500"/>
    <n v="1210"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3652.07"/>
    <n v="4079.47"/>
    <n v="20432.900000000001"/>
    <n v="-23888"/>
    <n v="0"/>
    <n v="3219.99"/>
    <n v="1914.89"/>
    <n v="243.2"/>
    <n v="11540.47"/>
    <x v="18"/>
    <x v="17"/>
    <x v="17"/>
    <x v="17"/>
    <x v="17"/>
    <n v="36846.660000000003"/>
    <n v="7496.4300000000021"/>
    <m/>
    <n v="16710"/>
    <x v="18"/>
    <x v="20"/>
    <x v="7"/>
    <n v="11710"/>
    <n v="5000"/>
    <n v="0"/>
    <x v="0"/>
  </r>
  <r>
    <s v="4060 - Consumptions personnel discretionary scope (vrije ruimte)"/>
    <m/>
    <m/>
    <m/>
    <m/>
    <m/>
    <m/>
    <m/>
    <m/>
    <m/>
    <m/>
    <m/>
    <m/>
    <m/>
    <m/>
    <m/>
    <m/>
    <m/>
    <m/>
    <m/>
    <m/>
    <m/>
    <m/>
    <m/>
    <m/>
    <m/>
    <m/>
    <m/>
    <x v="12"/>
    <x v="16"/>
    <n v="157.07"/>
    <n v="1262.32"/>
    <n v="391.83"/>
    <n v="501.2"/>
    <n v="340.1"/>
    <n v="639.85"/>
    <n v="523.19000000000005"/>
    <x v="17"/>
    <n v="618.73"/>
    <n v="614.78"/>
    <n v="772.28"/>
    <n v="667.3"/>
    <n v="345.21"/>
    <n v="680.62"/>
    <n v="5851.72"/>
    <n v="1037.94"/>
    <n v="1304.46"/>
    <n v="707.44"/>
    <n v="5982.46"/>
    <n v="588.73"/>
    <n v="628.25"/>
    <n v="860.38"/>
    <x v="19"/>
    <x v="18"/>
    <x v="18"/>
    <x v="18"/>
    <x v="18"/>
    <n v="4229.41"/>
    <n v="21318.31"/>
    <n v="4117.7299999999996"/>
    <m/>
    <x v="19"/>
    <x v="21"/>
    <x v="19"/>
    <m/>
    <m/>
    <m/>
    <x v="0"/>
  </r>
  <r>
    <s v="4081 - Social insurance premiums holiday allowance"/>
    <n v="456.3"/>
    <n v="456.3"/>
    <n v="456.3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461.12"/>
    <n v="-9264.86"/>
    <x v="16"/>
    <x v="17"/>
    <n v="1127.3699999999999"/>
    <n v="1127.3699999999999"/>
    <n v="1111.1400000000001"/>
    <n v="1235.82"/>
    <n v="1254.78"/>
    <n v="1197.04"/>
    <n v="1197.04"/>
    <x v="18"/>
    <n v="1456.18"/>
    <n v="1388.52"/>
    <n v="1388.51"/>
    <n v="1388.51"/>
    <n v="1428"/>
    <n v="1535.36"/>
    <n v="1546.72"/>
    <n v="1709.41"/>
    <n v="1709.41"/>
    <n v="1778.05"/>
    <n v="1778.05"/>
    <n v="1849.81"/>
    <n v="1849.81"/>
    <n v="1849.81"/>
    <x v="20"/>
    <x v="19"/>
    <x v="19"/>
    <x v="19"/>
    <x v="19"/>
    <n v="14852.639999999998"/>
    <n v="18361.86"/>
    <n v="1880.8399999999988"/>
    <n v="5533.44"/>
    <x v="20"/>
    <x v="22"/>
    <x v="20"/>
    <n v="-4192.5400000000009"/>
    <n v="5533.44"/>
    <n v="1368.9"/>
    <x v="0"/>
  </r>
  <r>
    <s v="4082 - Management Fee Shanwick B.V."/>
    <m/>
    <m/>
    <n v="0"/>
    <m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n v="31041.33"/>
    <x v="17"/>
    <x v="18"/>
    <n v="31041.33"/>
    <n v="31041.33"/>
    <n v="31041.33"/>
    <n v="31041.33"/>
    <n v="31041.33"/>
    <n v="31041.33"/>
    <n v="31041.33"/>
    <x v="19"/>
    <n v="31041.33"/>
    <n v="31041.33"/>
    <n v="31041.33"/>
    <n v="33009.33"/>
    <n v="31533.33"/>
    <n v="31533.33"/>
    <n v="31533.33"/>
    <n v="31533.33"/>
    <n v="31533.33"/>
    <n v="31533.33"/>
    <n v="31533.33"/>
    <n v="31533.33"/>
    <n v="31533.33"/>
    <n v="31533.33"/>
    <x v="21"/>
    <x v="20"/>
    <x v="20"/>
    <x v="20"/>
    <x v="20"/>
    <n v="283254.99"/>
    <n v="377907.96000000014"/>
    <n v="372495.96000000014"/>
    <n v="372495.96000000014"/>
    <x v="21"/>
    <x v="23"/>
    <x v="21"/>
    <n v="372495.96000000014"/>
    <n v="341454.63000000012"/>
    <n v="0"/>
    <x v="0"/>
  </r>
  <r>
    <s v="4085 - Holiday leave"/>
    <n v="2000.98"/>
    <n v="2000.98"/>
    <n v="2000.99"/>
    <m/>
    <n v="4001.97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x v="18"/>
    <x v="19"/>
    <n v="2001.98"/>
    <n v="2001.98"/>
    <n v="2001.98"/>
    <n v="2001.98"/>
    <n v="2001.98"/>
    <n v="2001.98"/>
    <n v="2001.98"/>
    <x v="20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n v="2001.98"/>
    <x v="22"/>
    <x v="21"/>
    <x v="21"/>
    <x v="21"/>
    <x v="21"/>
    <n v="16015.839999999998"/>
    <n v="24023.759999999998"/>
    <n v="24023.759999999998"/>
    <n v="24023.759999999998"/>
    <x v="22"/>
    <x v="24"/>
    <x v="22"/>
    <n v="24023.759999999998"/>
    <n v="24021.769999999997"/>
    <n v="6002.95"/>
    <x v="0"/>
  </r>
  <r>
    <s v="4086 - Management Fee Decision Company B.V."/>
    <n v="14370"/>
    <n v="14508"/>
    <n v="14508"/>
    <n v="14508"/>
    <m/>
    <m/>
    <m/>
    <m/>
    <m/>
    <m/>
    <m/>
    <m/>
    <m/>
    <m/>
    <m/>
    <m/>
    <m/>
    <m/>
    <m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3"/>
    <x v="13"/>
    <x v="22"/>
    <x v="8"/>
    <x v="8"/>
    <n v="0"/>
    <n v="0"/>
    <m/>
    <n v="0"/>
    <x v="14"/>
    <x v="17"/>
    <x v="7"/>
    <n v="0"/>
    <n v="14508"/>
    <n v="43386"/>
    <x v="0"/>
  </r>
  <r>
    <s v="4087 - Management Fee Ubi Concordia B.V."/>
    <n v="15990"/>
    <n v="16533.330000000002"/>
    <n v="16533.330000000002"/>
    <n v="16533.330000000002"/>
    <m/>
    <m/>
    <m/>
    <m/>
    <m/>
    <m/>
    <m/>
    <m/>
    <m/>
    <m/>
    <m/>
    <m/>
    <m/>
    <m/>
    <m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m/>
    <n v="0"/>
    <x v="14"/>
    <x v="17"/>
    <x v="7"/>
    <n v="0"/>
    <n v="16533.330000000002"/>
    <n v="49056.66"/>
    <x v="0"/>
  </r>
  <r>
    <s v="4090 - Other personnel exp. discretionary scope (vrije ruimte)"/>
    <m/>
    <m/>
    <m/>
    <m/>
    <m/>
    <m/>
    <m/>
    <m/>
    <m/>
    <m/>
    <n v="1454.5"/>
    <n v="2132.54"/>
    <m/>
    <m/>
    <m/>
    <m/>
    <m/>
    <m/>
    <m/>
    <m/>
    <m/>
    <m/>
    <m/>
    <m/>
    <n v="1542.17"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m/>
    <n v="0"/>
    <x v="14"/>
    <x v="17"/>
    <x v="7"/>
    <n v="1542.17"/>
    <n v="3587.04"/>
    <n v="0"/>
    <x v="0"/>
  </r>
  <r>
    <s v="4092 - Travel and subsistence expenses"/>
    <m/>
    <n v="27"/>
    <n v="0"/>
    <n v="523.37"/>
    <n v="34"/>
    <n v="382.4"/>
    <n v="1065.03"/>
    <n v="3493.08"/>
    <n v="2025.8"/>
    <n v="5713.65"/>
    <n v="12153.25"/>
    <n v="5858.36"/>
    <n v="2807.95"/>
    <n v="696.69"/>
    <n v="5059.07"/>
    <n v="2551.19"/>
    <n v="12228.2"/>
    <n v="17070.91"/>
    <n v="6941.82"/>
    <n v="-8116.77"/>
    <n v="-22.24"/>
    <n v="1535.56"/>
    <n v="3820.51"/>
    <n v="2316.33"/>
    <n v="1318.77"/>
    <n v="6349.18"/>
    <n v="3168.19"/>
    <x v="19"/>
    <x v="20"/>
    <n v="7921.72"/>
    <n v="14264.9"/>
    <n v="4173.53"/>
    <n v="1548.73"/>
    <n v="12924.98"/>
    <n v="5397.8"/>
    <n v="3826.67"/>
    <x v="21"/>
    <n v="4543.71"/>
    <n v="5783.78"/>
    <n v="3030.98"/>
    <n v="11007.06"/>
    <n v="1484.67"/>
    <n v="1389.41"/>
    <n v="6547.01"/>
    <n v="3986.18"/>
    <n v="8304.17"/>
    <n v="1889.71"/>
    <n v="4187.6000000000004"/>
    <n v="6757.46"/>
    <n v="5232.55"/>
    <n v="3108.28"/>
    <x v="23"/>
    <x v="22"/>
    <x v="23"/>
    <x v="22"/>
    <x v="22"/>
    <n v="40664.01"/>
    <n v="55106.979999999989"/>
    <n v="68187.63"/>
    <n v="46889.22"/>
    <x v="23"/>
    <x v="25"/>
    <x v="23"/>
    <n v="49161.65"/>
    <n v="39812.65"/>
    <n v="27"/>
    <x v="0"/>
  </r>
  <r>
    <s v="4093 - Recruitment expenses"/>
    <m/>
    <m/>
    <m/>
    <m/>
    <m/>
    <m/>
    <m/>
    <m/>
    <m/>
    <m/>
    <m/>
    <m/>
    <n v="16125"/>
    <m/>
    <m/>
    <m/>
    <m/>
    <m/>
    <m/>
    <m/>
    <m/>
    <n v="1035"/>
    <n v="1099.5"/>
    <n v="3090"/>
    <n v="344.85"/>
    <n v="16657.5"/>
    <n v="2160"/>
    <x v="20"/>
    <x v="21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n v="36271.35"/>
    <n v="21349.5"/>
    <x v="14"/>
    <x v="17"/>
    <x v="24"/>
    <n v="24386.85"/>
    <n v="16125"/>
    <n v="0"/>
    <x v="0"/>
  </r>
  <r>
    <s v="4099 - Other personnel expenses"/>
    <m/>
    <n v="43.6"/>
    <n v="-12.7"/>
    <m/>
    <m/>
    <m/>
    <m/>
    <m/>
    <m/>
    <m/>
    <m/>
    <m/>
    <m/>
    <m/>
    <m/>
    <m/>
    <m/>
    <m/>
    <m/>
    <m/>
    <m/>
    <m/>
    <m/>
    <m/>
    <n v="1110"/>
    <m/>
    <n v="290.98"/>
    <x v="12"/>
    <x v="22"/>
    <n v="0"/>
    <n v="1321.32"/>
    <n v="28"/>
    <n v="28"/>
    <n v="28"/>
    <n v="28"/>
    <n v="28"/>
    <x v="22"/>
    <n v="217.86"/>
    <n v="238.21"/>
    <n v="231.42"/>
    <n v="238.21"/>
    <n v="231.42"/>
    <n v="238.21"/>
    <n v="238.21"/>
    <n v="231.42"/>
    <n v="238.21"/>
    <n v="231.42"/>
    <n v="2735.49"/>
    <n v="332.76"/>
    <n v="303.99"/>
    <n v="332.76"/>
    <x v="24"/>
    <x v="23"/>
    <x v="24"/>
    <x v="23"/>
    <x v="23"/>
    <n v="2614.13"/>
    <n v="5308.29"/>
    <n v="4362.3"/>
    <n v="0"/>
    <x v="24"/>
    <x v="26"/>
    <x v="25"/>
    <n v="1400.98"/>
    <n v="0"/>
    <n v="30.900000000000002"/>
    <x v="0"/>
  </r>
  <r>
    <s v="Total: Personnel Expenses"/>
    <n v="71044.95"/>
    <n v="71784.63"/>
    <n v="72201.34"/>
    <n v="70590.28"/>
    <n v="73844.649999999994"/>
    <n v="121305.16"/>
    <n v="77412.75"/>
    <n v="79840.800000000003"/>
    <n v="85667.839999999997"/>
    <n v="90454.9"/>
    <n v="100598.28"/>
    <n v="95130.7"/>
    <n v="111281.74"/>
    <n v="96640.15"/>
    <n v="113960.41"/>
    <n v="93322.06"/>
    <n v="100348.13"/>
    <n v="191188.79000000004"/>
    <n v="96817.609999999986"/>
    <n v="82695.929999999993"/>
    <n v="95162.359999999986"/>
    <n v="97729.059999999983"/>
    <n v="103532.56999999998"/>
    <n v="115835.25"/>
    <n v="115691.28"/>
    <n v="134698.56999999998"/>
    <n v="109648.16999999998"/>
    <x v="21"/>
    <x v="23"/>
    <n v="141035.73000000001"/>
    <n v="148691.65000000002"/>
    <n v="238728.43"/>
    <n v="152407.76"/>
    <n v="158246.07"/>
    <n v="150017.29"/>
    <n v="150931.68000000002"/>
    <x v="23"/>
    <n v="155399.53999999998"/>
    <n v="163628.07999999999"/>
    <n v="153155.69000000003"/>
    <n v="157004.96"/>
    <n v="343513.62999999995"/>
    <n v="165312.20000000001"/>
    <n v="188085.27000000002"/>
    <n v="208806.25"/>
    <n v="170715.56000000003"/>
    <n v="195009.97"/>
    <n v="220731.13"/>
    <n v="192121.84000000003"/>
    <n v="180104.81999999998"/>
    <n v="201300.42000000004"/>
    <x v="25"/>
    <x v="24"/>
    <x v="25"/>
    <x v="24"/>
    <x v="24"/>
    <n v="1655673.8800000001"/>
    <n v="2281330.15"/>
    <n v="1761707.8"/>
    <n v="1298514.06"/>
    <x v="25"/>
    <x v="27"/>
    <x v="26"/>
    <n v="1336669.7799999998"/>
    <n v="1116727.6599999999"/>
    <n v="215030.92"/>
    <x v="2"/>
  </r>
  <r>
    <s v="Housing Expens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4100 - Rental expenses"/>
    <n v="4408.3900000000003"/>
    <n v="4408.3900000000003"/>
    <n v="4408.3900000000003"/>
    <n v="4659.67"/>
    <n v="4659.67"/>
    <n v="4659.67"/>
    <n v="4659.67"/>
    <n v="4659.67"/>
    <n v="4659.67"/>
    <n v="4659.67"/>
    <n v="4659.67"/>
    <n v="4659.67"/>
    <n v="4659.67"/>
    <n v="4659.67"/>
    <n v="4659.67"/>
    <n v="5000"/>
    <n v="5000"/>
    <n v="5000"/>
    <n v="5000"/>
    <n v="5000"/>
    <n v="5000"/>
    <n v="5000"/>
    <n v="5000"/>
    <n v="5000"/>
    <n v="5000"/>
    <n v="5000"/>
    <n v="5000"/>
    <x v="12"/>
    <x v="12"/>
    <n v="0"/>
    <n v="10865.64"/>
    <n v="8635.33"/>
    <n v="7891.88"/>
    <n v="8635.32"/>
    <n v="8635.32"/>
    <n v="8635.32"/>
    <x v="24"/>
    <n v="8635.32"/>
    <n v="8635.32"/>
    <n v="8635.32"/>
    <n v="8635.32"/>
    <n v="8635.32"/>
    <n v="8927.32"/>
    <n v="8927.32"/>
    <n v="8927.32"/>
    <n v="8927.32"/>
    <n v="8927.32"/>
    <n v="8927.32"/>
    <n v="8927.32"/>
    <n v="8927.32"/>
    <n v="8927.32"/>
    <x v="26"/>
    <x v="25"/>
    <x v="26"/>
    <x v="25"/>
    <x v="25"/>
    <n v="72554.87999999999"/>
    <n v="105375.84000000003"/>
    <n v="68298.81"/>
    <n v="58979.01"/>
    <x v="26"/>
    <x v="28"/>
    <x v="27"/>
    <n v="60000"/>
    <n v="55916.039999999986"/>
    <n v="13225.170000000002"/>
    <x v="0"/>
  </r>
  <r>
    <s v="4170 - Security expenses"/>
    <m/>
    <m/>
    <n v="0"/>
    <n v="32.880000000000003"/>
    <n v="33.97"/>
    <n v="32.880000000000003"/>
    <n v="33.97"/>
    <n v="33.97"/>
    <n v="32.880000000000003"/>
    <n v="33.97"/>
    <n v="32.880000000000003"/>
    <n v="33.97"/>
    <n v="33.97"/>
    <n v="30.68"/>
    <n v="33.979999999999997"/>
    <n v="480"/>
    <m/>
    <m/>
    <m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m/>
    <n v="578.63"/>
    <x v="14"/>
    <x v="17"/>
    <x v="7"/>
    <n v="480"/>
    <n v="400.00000000000006"/>
    <n v="0"/>
    <x v="0"/>
  </r>
  <r>
    <s v="4180 - Utilities expenses"/>
    <n v="207.23"/>
    <n v="184.3"/>
    <n v="184.29"/>
    <n v="25.33"/>
    <n v="162.36000000000001"/>
    <n v="185.05"/>
    <n v="171.54"/>
    <n v="142.97999999999999"/>
    <n v="350.82"/>
    <m/>
    <n v="-14.05"/>
    <n v="-21.59"/>
    <n v="203.89"/>
    <n v="196.26"/>
    <n v="-155.91999999999999"/>
    <n v="392.52"/>
    <n v="203.71"/>
    <n v="28.44"/>
    <n v="189.26"/>
    <n v="189.26"/>
    <n v="189.27"/>
    <n v="253.29"/>
    <n v="229"/>
    <n v="202.39"/>
    <n v="368.84"/>
    <n v="218.06"/>
    <n v="9.11"/>
    <x v="22"/>
    <x v="24"/>
    <n v="395.32"/>
    <n v="453.72"/>
    <n v="453.72"/>
    <n v="441.3"/>
    <n v="600.64"/>
    <n v="440.88"/>
    <n v="440.88"/>
    <x v="25"/>
    <n v="469.05"/>
    <n v="469.05"/>
    <n v="469.05"/>
    <n v="756.71"/>
    <n v="345.35"/>
    <n v="469.05"/>
    <n v="469.05"/>
    <n v="469.05"/>
    <n v="541.61"/>
    <n v="469.05"/>
    <n v="469.05"/>
    <n v="495.93"/>
    <n v="649.29"/>
    <n v="495.93"/>
    <x v="27"/>
    <x v="26"/>
    <x v="27"/>
    <x v="26"/>
    <x v="26"/>
    <n v="4120.7999999999993"/>
    <n v="5865.12"/>
    <n v="4418.75"/>
    <n v="2121.37"/>
    <x v="27"/>
    <x v="29"/>
    <x v="28"/>
    <n v="2473.15"/>
    <n v="1246.6699999999998"/>
    <n v="575.81999999999994"/>
    <x v="0"/>
  </r>
  <r>
    <s v="4190 - Other housing costs"/>
    <m/>
    <m/>
    <m/>
    <m/>
    <m/>
    <m/>
    <m/>
    <m/>
    <m/>
    <m/>
    <m/>
    <m/>
    <m/>
    <m/>
    <m/>
    <m/>
    <m/>
    <m/>
    <m/>
    <m/>
    <m/>
    <m/>
    <m/>
    <m/>
    <m/>
    <m/>
    <m/>
    <x v="23"/>
    <x v="12"/>
    <n v="0"/>
    <n v="347.07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n v="1472.61"/>
    <n v="0"/>
    <x v="14"/>
    <x v="17"/>
    <x v="29"/>
    <m/>
    <m/>
    <m/>
    <x v="0"/>
  </r>
  <r>
    <s v="Total: Housing Expenses"/>
    <n v="4615.62"/>
    <n v="4592.6899999999996"/>
    <n v="4592.68"/>
    <n v="4717.88"/>
    <n v="4856"/>
    <n v="4877.6000000000004"/>
    <n v="4865.18"/>
    <n v="4836.62"/>
    <n v="5043.37"/>
    <n v="4693.6400000000003"/>
    <n v="4678.5"/>
    <n v="4672.05"/>
    <n v="4897.53"/>
    <n v="4886.6099999999997"/>
    <n v="4537.7299999999996"/>
    <n v="5872.52"/>
    <n v="5203.71"/>
    <n v="5028.4399999999996"/>
    <n v="5189.26"/>
    <n v="5189.26"/>
    <n v="5189.2700000000004"/>
    <n v="5253.29"/>
    <n v="5229"/>
    <n v="5202.3900000000003"/>
    <n v="5368.84"/>
    <n v="5218.0600000000004"/>
    <n v="5009.1099999999997"/>
    <x v="24"/>
    <x v="24"/>
    <n v="395.32"/>
    <n v="11666.429999999998"/>
    <n v="9089.0499999999993"/>
    <n v="8333.18"/>
    <n v="9235.9599999999991"/>
    <n v="9076.1999999999989"/>
    <n v="9076.1999999999989"/>
    <x v="26"/>
    <n v="9104.369999999999"/>
    <n v="9104.369999999999"/>
    <n v="9104.369999999999"/>
    <n v="9392.0299999999988"/>
    <n v="8980.67"/>
    <n v="9396.369999999999"/>
    <n v="9396.369999999999"/>
    <n v="9396.369999999999"/>
    <n v="9468.93"/>
    <n v="9396.369999999999"/>
    <n v="9396.369999999999"/>
    <n v="9423.25"/>
    <n v="9576.61"/>
    <n v="9423.25"/>
    <x v="28"/>
    <x v="27"/>
    <x v="28"/>
    <x v="27"/>
    <x v="27"/>
    <n v="76675.680000000008"/>
    <n v="111240.95999999996"/>
    <n v="74190.17"/>
    <n v="61679.01"/>
    <x v="28"/>
    <x v="30"/>
    <x v="30"/>
    <n v="62953.149999999994"/>
    <n v="57562.710000000006"/>
    <n v="13800.99"/>
    <x v="3"/>
  </r>
  <r>
    <s v="Maintenance and small equipment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n v="0"/>
    <n v="0"/>
    <n v="0"/>
    <n v="0"/>
    <n v="0"/>
    <n v="0"/>
    <n v="0"/>
    <n v="0"/>
    <n v="0"/>
    <n v="0"/>
    <n v="0"/>
    <n v="0"/>
    <x v="1"/>
    <x v="1"/>
    <x v="1"/>
    <x v="1"/>
    <x v="1"/>
    <m/>
    <m/>
    <m/>
    <m/>
    <x v="1"/>
    <x v="1"/>
    <x v="1"/>
    <m/>
    <m/>
    <m/>
    <x v="0"/>
  </r>
  <r>
    <s v="4200 - Maintenance and small equipment"/>
    <n v="109.5"/>
    <n v="49.84"/>
    <n v="0"/>
    <m/>
    <m/>
    <m/>
    <m/>
    <m/>
    <m/>
    <m/>
    <m/>
    <m/>
    <m/>
    <m/>
    <m/>
    <m/>
    <m/>
    <m/>
    <m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m/>
    <n v="0"/>
    <x v="14"/>
    <x v="17"/>
    <x v="7"/>
    <n v="0"/>
    <n v="0"/>
    <n v="159.34"/>
    <x v="0"/>
  </r>
  <r>
    <s v="Total: Maintenance and small equipment"/>
    <n v="109.5"/>
    <n v="49.84"/>
    <n v="0"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7"/>
    <n v="0"/>
    <n v="0"/>
    <n v="0"/>
    <n v="0"/>
    <n v="0"/>
    <n v="0"/>
    <n v="0"/>
    <n v="0"/>
    <n v="0"/>
    <n v="0"/>
    <n v="0"/>
    <n v="0"/>
    <n v="0"/>
    <n v="0"/>
    <x v="13"/>
    <x v="13"/>
    <x v="22"/>
    <x v="8"/>
    <x v="8"/>
    <n v="0"/>
    <n v="0"/>
    <n v="0"/>
    <n v="0"/>
    <x v="14"/>
    <x v="17"/>
    <x v="7"/>
    <n v="0"/>
    <n v="0"/>
    <n v="159.34"/>
    <x v="3"/>
  </r>
  <r>
    <s v="Office Expens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n v="0"/>
    <n v="0"/>
    <n v="0"/>
    <n v="0"/>
    <n v="0"/>
    <n v="0"/>
    <n v="0"/>
    <n v="0"/>
    <n v="0"/>
    <n v="0"/>
    <n v="0"/>
    <n v="0"/>
    <x v="13"/>
    <x v="13"/>
    <x v="22"/>
    <x v="8"/>
    <x v="8"/>
    <n v="0"/>
    <m/>
    <m/>
    <m/>
    <x v="14"/>
    <x v="17"/>
    <x v="1"/>
    <m/>
    <m/>
    <m/>
    <x v="0"/>
  </r>
  <r>
    <s v="4300 - Office expenses"/>
    <m/>
    <m/>
    <m/>
    <m/>
    <m/>
    <m/>
    <m/>
    <m/>
    <m/>
    <m/>
    <n v="2017.1"/>
    <n v="2350.4299999999998"/>
    <m/>
    <m/>
    <m/>
    <n v="31.38"/>
    <m/>
    <m/>
    <n v="2265.58"/>
    <n v="90.42"/>
    <n v="39.590000000000003"/>
    <n v="458.64"/>
    <n v="205.84"/>
    <n v="79.209999999999994"/>
    <n v="6022.08"/>
    <m/>
    <n v="1418.9"/>
    <x v="12"/>
    <x v="25"/>
    <n v="453"/>
    <n v="1540.4"/>
    <n v="0"/>
    <n v="79.25"/>
    <n v="119.41"/>
    <n v="388.81"/>
    <n v="1812.02"/>
    <x v="27"/>
    <n v="824.99"/>
    <n v="0"/>
    <n v="0"/>
    <n v="0"/>
    <n v="214.32"/>
    <n v="0"/>
    <n v="114"/>
    <n v="2035.92"/>
    <n v="0"/>
    <n v="0"/>
    <n v="5552.76"/>
    <n v="108.75"/>
    <n v="57.23"/>
    <n v="650"/>
    <x v="29"/>
    <x v="28"/>
    <x v="29"/>
    <x v="28"/>
    <x v="8"/>
    <n v="7039.59"/>
    <n v="12556.7"/>
    <n v="12487.16"/>
    <n v="3170.6600000000003"/>
    <x v="29"/>
    <x v="31"/>
    <x v="31"/>
    <n v="10611.64"/>
    <n v="4367.53"/>
    <n v="0"/>
    <x v="0"/>
  </r>
  <r>
    <s v="4302 - Postage and courier expenses"/>
    <m/>
    <n v="77.510000000000005"/>
    <n v="0"/>
    <m/>
    <m/>
    <n v="81.52"/>
    <n v="220.09"/>
    <n v="-110.06"/>
    <n v="84.44"/>
    <m/>
    <m/>
    <m/>
    <m/>
    <n v="254.66"/>
    <m/>
    <m/>
    <m/>
    <m/>
    <m/>
    <m/>
    <m/>
    <n v="65.489999999999995"/>
    <n v="314.10000000000002"/>
    <m/>
    <n v="225.15"/>
    <m/>
    <m/>
    <x v="12"/>
    <x v="12"/>
    <n v="0"/>
    <n v="0"/>
    <n v="98.86"/>
    <n v="37.99"/>
    <n v="0"/>
    <n v="0"/>
    <n v="0"/>
    <x v="28"/>
    <n v="0"/>
    <n v="106.46"/>
    <n v="0"/>
    <n v="0"/>
    <n v="96.6"/>
    <n v="57"/>
    <n v="0"/>
    <n v="71.86"/>
    <n v="0"/>
    <n v="0"/>
    <n v="0"/>
    <n v="33.75"/>
    <n v="124.28"/>
    <n v="176"/>
    <x v="14"/>
    <x v="1"/>
    <x v="1"/>
    <x v="1"/>
    <x v="1"/>
    <n v="334.03"/>
    <n v="737.21"/>
    <n v="362"/>
    <n v="634.25"/>
    <x v="14"/>
    <x v="32"/>
    <x v="32"/>
    <n v="604.74"/>
    <n v="530.65"/>
    <n v="77.510000000000005"/>
    <x v="0"/>
  </r>
  <r>
    <s v="4305 - Subscriptions and contributions"/>
    <m/>
    <n v="112.52"/>
    <n v="0"/>
    <m/>
    <m/>
    <n v="2353.41"/>
    <n v="6760"/>
    <n v="2453.44"/>
    <n v="1760"/>
    <n v="1760"/>
    <m/>
    <n v="3633"/>
    <n v="2047.1"/>
    <n v="1964.17"/>
    <n v="1855.44"/>
    <n v="2277.36"/>
    <n v="2007.9"/>
    <n v="3788.92"/>
    <n v="2411.16"/>
    <n v="2411.16"/>
    <n v="2465.9"/>
    <n v="2434.9299999999998"/>
    <n v="2356.38"/>
    <n v="530.12"/>
    <n v="3469.46"/>
    <n v="5290.67"/>
    <n v="1796.31"/>
    <x v="25"/>
    <x v="26"/>
    <n v="7149.43"/>
    <n v="31.45"/>
    <n v="316.08"/>
    <n v="7561.56"/>
    <n v="1788.05"/>
    <n v="2536.2399999999998"/>
    <n v="7354.48"/>
    <x v="29"/>
    <n v="768.83"/>
    <n v="9495.94"/>
    <n v="537.85"/>
    <n v="3660.8"/>
    <n v="9373.39"/>
    <n v="2942.42"/>
    <n v="3247.69"/>
    <n v="5482.55"/>
    <n v="3546.24"/>
    <n v="5080.71"/>
    <n v="3334.99"/>
    <n v="3561.26"/>
    <n v="7564.72"/>
    <n v="6498.85"/>
    <x v="30"/>
    <x v="29"/>
    <x v="30"/>
    <x v="29"/>
    <x v="28"/>
    <n v="46102.3"/>
    <n v="49144.939999999995"/>
    <n v="46819.520000000004"/>
    <n v="26550.54"/>
    <x v="30"/>
    <x v="33"/>
    <x v="33"/>
    <n v="31240.27"/>
    <n v="24586.559999999994"/>
    <n v="112.52"/>
    <x v="0"/>
  </r>
  <r>
    <s v="4330 - Telephone expenses"/>
    <n v="87.62"/>
    <m/>
    <n v="-436.36"/>
    <m/>
    <n v="54.62"/>
    <n v="51.74"/>
    <m/>
    <n v="50.83"/>
    <m/>
    <m/>
    <n v="135.71"/>
    <n v="52.07"/>
    <n v="80.97"/>
    <m/>
    <n v="119.05"/>
    <n v="-43.8"/>
    <n v="86.36"/>
    <n v="86.34"/>
    <n v="125.47"/>
    <n v="48.94"/>
    <n v="117.08"/>
    <n v="69"/>
    <n v="69.150000000000006"/>
    <n v="129.6"/>
    <n v="69.430000000000007"/>
    <n v="132.03"/>
    <n v="1879.04"/>
    <x v="12"/>
    <x v="27"/>
    <n v="81.599999999999994"/>
    <n v="78.12"/>
    <n v="147.1"/>
    <n v="78.38"/>
    <n v="7.4"/>
    <n v="74.48"/>
    <n v="77.11"/>
    <x v="30"/>
    <n v="5.91"/>
    <n v="71"/>
    <n v="77.739999999999995"/>
    <n v="80.44"/>
    <n v="75.58"/>
    <n v="78.569999999999993"/>
    <n v="78.86"/>
    <n v="78.92"/>
    <n v="79.69"/>
    <n v="80.52"/>
    <n v="81.93"/>
    <n v="79.36"/>
    <n v="76.02"/>
    <n v="77.13"/>
    <x v="31"/>
    <x v="30"/>
    <x v="31"/>
    <x v="8"/>
    <x v="29"/>
    <n v="568.35"/>
    <n v="882.27"/>
    <n v="2696.31"/>
    <n v="888.16"/>
    <x v="31"/>
    <x v="34"/>
    <x v="34"/>
    <n v="2768.64"/>
    <n v="544.9899999999999"/>
    <n v="-348.74"/>
    <x v="0"/>
  </r>
  <r>
    <s v="Total: Office Expenses"/>
    <n v="87.62"/>
    <n v="190.03"/>
    <n v="-436.36"/>
    <m/>
    <n v="54.62"/>
    <n v="2486.67"/>
    <n v="6980.09"/>
    <n v="2394.21"/>
    <n v="1844.44"/>
    <n v="1760"/>
    <n v="2152.81"/>
    <n v="6035.5"/>
    <n v="2128.0700000000002"/>
    <n v="2218.83"/>
    <n v="1974.49"/>
    <n v="2264.94"/>
    <n v="2094.2600000000002"/>
    <n v="3875.26"/>
    <n v="4802.21"/>
    <n v="2550.52"/>
    <n v="2622.57"/>
    <n v="3028.06"/>
    <n v="2945.4700000000003"/>
    <n v="738.93000000000006"/>
    <n v="9786.119999999999"/>
    <n v="5422.7"/>
    <n v="5094.25"/>
    <x v="25"/>
    <x v="28"/>
    <n v="7684.0300000000007"/>
    <n v="1649.9700000000003"/>
    <n v="562.04"/>
    <n v="7757.18"/>
    <n v="1914.8600000000001"/>
    <n v="2999.5299999999997"/>
    <n v="9243.61"/>
    <x v="31"/>
    <n v="1599.7300000000002"/>
    <n v="9673.4"/>
    <n v="615.59"/>
    <n v="3741.2400000000002"/>
    <n v="9759.89"/>
    <n v="3077.9900000000002"/>
    <n v="3440.55"/>
    <n v="7669.25"/>
    <n v="3625.93"/>
    <n v="5161.2300000000005"/>
    <n v="8969.68"/>
    <n v="3783.1200000000003"/>
    <n v="7822.2500000000009"/>
    <n v="7401.9800000000005"/>
    <x v="32"/>
    <x v="31"/>
    <x v="32"/>
    <x v="30"/>
    <x v="30"/>
    <n v="54044.270000000004"/>
    <n v="63321.12000000001"/>
    <n v="62364.990000000005"/>
    <n v="31243.610000000004"/>
    <x v="32"/>
    <x v="35"/>
    <x v="35"/>
    <n v="45225.29"/>
    <n v="30029.73"/>
    <n v="-158.71000000000004"/>
    <x v="3"/>
  </r>
  <r>
    <s v="Car Expens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4491 - Parking costs"/>
    <m/>
    <m/>
    <n v="0"/>
    <n v="459.34"/>
    <m/>
    <m/>
    <m/>
    <n v="459.34"/>
    <m/>
    <m/>
    <m/>
    <m/>
    <m/>
    <m/>
    <m/>
    <n v="75.3"/>
    <n v="77.81"/>
    <n v="75.3"/>
    <n v="77.81"/>
    <n v="77.81"/>
    <n v="75.31"/>
    <n v="81.31"/>
    <n v="78.69"/>
    <n v="81.31"/>
    <n v="81.31"/>
    <n v="76.069999999999993"/>
    <n v="586.29"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m/>
    <n v="700.65000000000009"/>
    <x v="14"/>
    <x v="17"/>
    <x v="7"/>
    <n v="1444.32"/>
    <n v="918.68"/>
    <n v="0"/>
    <x v="0"/>
  </r>
  <r>
    <s v="Total: Car Expenses"/>
    <m/>
    <m/>
    <n v="0"/>
    <n v="459.34"/>
    <m/>
    <m/>
    <m/>
    <n v="459.34"/>
    <m/>
    <m/>
    <m/>
    <m/>
    <m/>
    <m/>
    <m/>
    <n v="75.3"/>
    <n v="77.81"/>
    <n v="75.3"/>
    <n v="77.81"/>
    <n v="77.81"/>
    <n v="75.31"/>
    <n v="81.31"/>
    <n v="78.69"/>
    <n v="81.31"/>
    <n v="81.31"/>
    <n v="76.069999999999993"/>
    <n v="586.29"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3"/>
    <x v="13"/>
    <x v="22"/>
    <x v="8"/>
    <x v="8"/>
    <n v="0"/>
    <n v="0"/>
    <n v="743.67"/>
    <n v="700.65000000000009"/>
    <x v="14"/>
    <x v="17"/>
    <x v="7"/>
    <n v="1444.32"/>
    <n v="918.68"/>
    <n v="0"/>
    <x v="3"/>
  </r>
  <r>
    <s v="Sales Expens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n v="0"/>
    <n v="0"/>
    <x v="13"/>
    <x v="13"/>
    <x v="22"/>
    <x v="8"/>
    <x v="8"/>
    <n v="0"/>
    <m/>
    <m/>
    <m/>
    <x v="14"/>
    <x v="17"/>
    <x v="1"/>
    <m/>
    <m/>
    <m/>
    <x v="0"/>
  </r>
  <r>
    <s v="4500 - Promotion expenses"/>
    <m/>
    <n v="5000"/>
    <m/>
    <m/>
    <m/>
    <m/>
    <n v="9600"/>
    <n v="8925"/>
    <n v="1813"/>
    <n v="5155"/>
    <n v="16221"/>
    <n v="4850"/>
    <n v="6674"/>
    <n v="-1183.24"/>
    <n v="1235.07"/>
    <n v="2518"/>
    <n v="9498"/>
    <n v="7901.07"/>
    <n v="3320"/>
    <n v="4150"/>
    <n v="2765.07"/>
    <n v="1950"/>
    <n v="4960"/>
    <n v="8852.5"/>
    <n v="2768.47"/>
    <n v="4446.78"/>
    <n v="2966.58"/>
    <x v="26"/>
    <x v="29"/>
    <n v="1755"/>
    <n v="8282.9"/>
    <n v="2971.32"/>
    <n v="2953.25"/>
    <n v="3395.31"/>
    <n v="10372.85"/>
    <n v="6817.75"/>
    <x v="32"/>
    <n v="1217.5"/>
    <n v="2234.04"/>
    <n v="675"/>
    <n v="13179.5"/>
    <n v="19187.04"/>
    <n v="0"/>
    <n v="0"/>
    <n v="2290.04"/>
    <n v="771.61"/>
    <n v="1208.5"/>
    <n v="1521.61"/>
    <n v="96.61"/>
    <n v="87.26"/>
    <n v="19747.21"/>
    <x v="33"/>
    <x v="32"/>
    <x v="33"/>
    <x v="31"/>
    <x v="31"/>
    <n v="41309.25"/>
    <n v="49317.340000000004"/>
    <n v="55470.17"/>
    <n v="52640.47"/>
    <x v="33"/>
    <x v="36"/>
    <x v="36"/>
    <n v="56096.47"/>
    <n v="53289.83"/>
    <n v="5000"/>
    <x v="0"/>
  </r>
  <r>
    <s v="4501 - Sponsoring"/>
    <n v="225"/>
    <n v="225"/>
    <n v="225"/>
    <n v="225"/>
    <n v="225"/>
    <n v="225"/>
    <n v="225"/>
    <n v="225"/>
    <n v="225"/>
    <n v="225"/>
    <n v="225"/>
    <n v="225"/>
    <n v="275.56"/>
    <n v="248.89"/>
    <n v="275.55"/>
    <n v="1320"/>
    <m/>
    <m/>
    <m/>
    <m/>
    <n v="800"/>
    <n v="800"/>
    <m/>
    <m/>
    <m/>
    <m/>
    <m/>
    <x v="27"/>
    <x v="12"/>
    <n v="2500"/>
    <n v="0"/>
    <n v="0"/>
    <n v="7169.74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n v="10469.74"/>
    <n v="3720"/>
    <x v="14"/>
    <x v="17"/>
    <x v="37"/>
    <n v="2920"/>
    <n v="2825"/>
    <n v="675"/>
    <x v="0"/>
  </r>
  <r>
    <s v="4505 - Advertisement &amp; Marketing Expenses"/>
    <m/>
    <m/>
    <m/>
    <m/>
    <m/>
    <m/>
    <m/>
    <m/>
    <m/>
    <m/>
    <m/>
    <m/>
    <m/>
    <m/>
    <m/>
    <m/>
    <m/>
    <m/>
    <m/>
    <m/>
    <m/>
    <m/>
    <m/>
    <m/>
    <m/>
    <m/>
    <m/>
    <x v="12"/>
    <x v="12"/>
    <n v="0"/>
    <n v="0"/>
    <n v="0"/>
    <n v="0"/>
    <n v="0"/>
    <n v="6000"/>
    <n v="0"/>
    <x v="33"/>
    <n v="451.76"/>
    <n v="606.12"/>
    <n v="687.47"/>
    <n v="462.82"/>
    <n v="511.88"/>
    <n v="0"/>
    <n v="5661.13"/>
    <n v="7995.05"/>
    <n v="2595.04"/>
    <n v="2511.33"/>
    <n v="5395.04"/>
    <n v="2595.04"/>
    <n v="2343.91"/>
    <n v="2595.0300000000002"/>
    <x v="34"/>
    <x v="13"/>
    <x v="34"/>
    <x v="32"/>
    <x v="32"/>
    <n v="25404.11"/>
    <n v="27533.22"/>
    <n v="6000"/>
    <n v="0"/>
    <x v="34"/>
    <x v="37"/>
    <x v="38"/>
    <n v="0"/>
    <n v="0"/>
    <n v="0"/>
    <x v="0"/>
  </r>
  <r>
    <s v="4510 - Business gifts"/>
    <m/>
    <m/>
    <m/>
    <m/>
    <m/>
    <m/>
    <m/>
    <m/>
    <m/>
    <m/>
    <m/>
    <n v="71.7"/>
    <m/>
    <m/>
    <m/>
    <n v="38.549999999999997"/>
    <m/>
    <m/>
    <m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m/>
    <n v="38.549999999999997"/>
    <x v="14"/>
    <x v="17"/>
    <x v="7"/>
    <n v="38.549999999999997"/>
    <n v="71.7"/>
    <n v="0"/>
    <x v="0"/>
  </r>
  <r>
    <s v="4515 - Entertainment and representation expenses"/>
    <m/>
    <m/>
    <m/>
    <m/>
    <m/>
    <m/>
    <m/>
    <m/>
    <m/>
    <m/>
    <m/>
    <n v="227.75"/>
    <m/>
    <m/>
    <n v="230"/>
    <m/>
    <m/>
    <m/>
    <m/>
    <m/>
    <m/>
    <m/>
    <m/>
    <m/>
    <n v="1751.07"/>
    <m/>
    <m/>
    <x v="12"/>
    <x v="30"/>
    <n v="0"/>
    <n v="0"/>
    <n v="0"/>
    <n v="0"/>
    <n v="247.45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n v="2795.1"/>
    <n v="230"/>
    <x v="14"/>
    <x v="17"/>
    <x v="39"/>
    <n v="1751.07"/>
    <n v="457.75"/>
    <n v="0"/>
    <x v="0"/>
  </r>
  <r>
    <s v="4530 - Travel costs"/>
    <m/>
    <m/>
    <m/>
    <m/>
    <m/>
    <m/>
    <m/>
    <m/>
    <m/>
    <m/>
    <m/>
    <m/>
    <m/>
    <m/>
    <m/>
    <m/>
    <m/>
    <m/>
    <m/>
    <m/>
    <m/>
    <n v="582.04999999999995"/>
    <n v="6760.58"/>
    <n v="1344"/>
    <n v="210.07"/>
    <n v="4866.04"/>
    <n v="12352.37"/>
    <x v="12"/>
    <x v="31"/>
    <n v="3288.88"/>
    <n v="2262.09"/>
    <n v="1742.63"/>
    <n v="745.02"/>
    <n v="3054.39"/>
    <n v="4980.2299999999996"/>
    <n v="3521.4"/>
    <x v="34"/>
    <n v="438.97"/>
    <n v="604.26"/>
    <n v="2798.04"/>
    <n v="8032.21"/>
    <n v="520.16"/>
    <n v="4058.16"/>
    <n v="0"/>
    <n v="882.87"/>
    <n v="384.6"/>
    <n v="2281.87"/>
    <n v="9534.2000000000007"/>
    <n v="0"/>
    <n v="761.49"/>
    <n v="257.77"/>
    <x v="13"/>
    <x v="13"/>
    <x v="35"/>
    <x v="8"/>
    <x v="8"/>
    <n v="4262"/>
    <n v="32552.19"/>
    <n v="47243.040000000001"/>
    <n v="8686.630000000001"/>
    <x v="35"/>
    <x v="38"/>
    <x v="40"/>
    <n v="26115.11"/>
    <n v="0"/>
    <n v="0"/>
    <x v="0"/>
  </r>
  <r>
    <s v="4560 - Write off bad debts"/>
    <m/>
    <m/>
    <m/>
    <m/>
    <m/>
    <m/>
    <m/>
    <m/>
    <m/>
    <m/>
    <m/>
    <m/>
    <m/>
    <m/>
    <n v="38038.75"/>
    <m/>
    <m/>
    <m/>
    <m/>
    <n v="6500"/>
    <n v="3250"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3"/>
    <x v="13"/>
    <x v="22"/>
    <x v="8"/>
    <x v="33"/>
    <n v="3150"/>
    <n v="0"/>
    <m/>
    <n v="47788.75"/>
    <x v="36"/>
    <x v="17"/>
    <x v="7"/>
    <n v="9750"/>
    <n v="38038.75"/>
    <n v="0"/>
    <x v="0"/>
  </r>
  <r>
    <s v="4550 - Conference fees"/>
    <m/>
    <m/>
    <n v="0"/>
    <m/>
    <m/>
    <n v="1856.23"/>
    <m/>
    <m/>
    <m/>
    <m/>
    <n v="5140.54"/>
    <n v="2082.58"/>
    <n v="651.15"/>
    <m/>
    <m/>
    <m/>
    <m/>
    <m/>
    <n v="12929.26"/>
    <m/>
    <n v="13832.53"/>
    <m/>
    <m/>
    <m/>
    <m/>
    <m/>
    <n v="7529.82"/>
    <x v="12"/>
    <x v="32"/>
    <n v="7500"/>
    <n v="4592.21"/>
    <n v="770"/>
    <n v="0"/>
    <n v="0"/>
    <n v="7802.33"/>
    <n v="2428.59"/>
    <x v="35"/>
    <n v="1228.0899999999999"/>
    <n v="452.87"/>
    <n v="5409.08"/>
    <n v="360"/>
    <n v="108.54"/>
    <n v="0"/>
    <n v="0"/>
    <n v="7851.63"/>
    <n v="0"/>
    <n v="195.24"/>
    <n v="5406.19"/>
    <n v="4944"/>
    <n v="0"/>
    <n v="1044.3699999999999"/>
    <x v="13"/>
    <x v="33"/>
    <x v="36"/>
    <x v="33"/>
    <x v="34"/>
    <n v="8065.3"/>
    <n v="23164.890000000003"/>
    <n v="28481.69"/>
    <n v="27412.940000000002"/>
    <x v="37"/>
    <x v="39"/>
    <x v="41"/>
    <n v="34291.61"/>
    <n v="9730.5"/>
    <n v="0"/>
    <x v="0"/>
  </r>
  <r>
    <s v="4590 -  Other sales costs"/>
    <m/>
    <m/>
    <m/>
    <m/>
    <m/>
    <m/>
    <m/>
    <m/>
    <m/>
    <m/>
    <m/>
    <n v="2340"/>
    <m/>
    <m/>
    <m/>
    <m/>
    <n v="7200"/>
    <m/>
    <m/>
    <n v="21434.15"/>
    <n v="7000"/>
    <n v="9238.82"/>
    <n v="3500"/>
    <n v="21046.2"/>
    <m/>
    <n v="7000"/>
    <n v="13000"/>
    <x v="28"/>
    <x v="33"/>
    <n v="0"/>
    <n v="5000"/>
    <n v="10772.06"/>
    <n v="12082.64"/>
    <n v="7772.06"/>
    <n v="10482.64"/>
    <n v="11497.06"/>
    <x v="36"/>
    <n v="10528.79"/>
    <n v="18272.060000000001"/>
    <n v="14139.11"/>
    <n v="14960.41"/>
    <n v="13939.11"/>
    <n v="12960.37"/>
    <n v="11251.12"/>
    <n v="8533.24"/>
    <n v="6140.57"/>
    <n v="10192.49"/>
    <n v="12236.85"/>
    <n v="30670.83"/>
    <n v="2897.38"/>
    <n v="6501.96"/>
    <x v="35"/>
    <x v="34"/>
    <x v="37"/>
    <x v="34"/>
    <x v="35"/>
    <n v="69138.95"/>
    <n v="149212.69"/>
    <n v="84606.459999999992"/>
    <n v="69419.17"/>
    <x v="38"/>
    <x v="40"/>
    <x v="42"/>
    <n v="89419.17"/>
    <n v="2340"/>
    <n v="0"/>
    <x v="0"/>
  </r>
  <r>
    <s v="Total: Sales Expenses"/>
    <n v="225"/>
    <n v="5225"/>
    <n v="225"/>
    <n v="225"/>
    <n v="225"/>
    <n v="2081.23"/>
    <n v="9825"/>
    <n v="9150"/>
    <n v="2038"/>
    <n v="5380"/>
    <n v="21586.54"/>
    <n v="9797.0300000000007"/>
    <n v="7600.71"/>
    <n v="-934.35"/>
    <n v="39779.370000000003"/>
    <n v="3876.55"/>
    <n v="16698"/>
    <n v="7901.07"/>
    <n v="16249.26"/>
    <n v="32084.15"/>
    <n v="27647.599999999999"/>
    <n v="12570.869999999999"/>
    <n v="15220.58"/>
    <n v="31242.7"/>
    <n v="4729.6099999999997"/>
    <n v="16312.82"/>
    <n v="35848.770000000004"/>
    <x v="29"/>
    <x v="34"/>
    <n v="15043.880000000001"/>
    <n v="20137.2"/>
    <n v="16256.01"/>
    <n v="22950.65"/>
    <n v="14469.21"/>
    <n v="39638.050000000003"/>
    <n v="24264.799999999999"/>
    <x v="37"/>
    <n v="13865.11"/>
    <n v="22169.350000000002"/>
    <n v="23708.7"/>
    <n v="36994.94"/>
    <n v="34266.730000000003"/>
    <n v="17018.53"/>
    <n v="16912.25"/>
    <n v="27552.83"/>
    <n v="9891.82"/>
    <n v="16389.43"/>
    <n v="34093.89"/>
    <n v="38306.480000000003"/>
    <n v="6090.04"/>
    <n v="30146.339999999997"/>
    <x v="36"/>
    <x v="35"/>
    <x v="38"/>
    <x v="35"/>
    <x v="36"/>
    <n v="151329.60999999999"/>
    <n v="281780.33"/>
    <n v="235066.2"/>
    <n v="209936.51"/>
    <x v="39"/>
    <x v="41"/>
    <x v="43"/>
    <n v="220381.97999999998"/>
    <n v="106753.53"/>
    <n v="5675"/>
    <x v="3"/>
  </r>
  <r>
    <s v="General Expens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4160 - Fees &amp; Tax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n v="0"/>
    <n v="0"/>
    <n v="0"/>
    <n v="0"/>
    <n v="0"/>
    <n v="0"/>
    <n v="0"/>
    <n v="0"/>
    <n v="0"/>
    <n v="2782.24"/>
    <n v="0"/>
    <n v="0"/>
    <x v="37"/>
    <x v="36"/>
    <x v="22"/>
    <x v="8"/>
    <x v="8"/>
    <n v="6172.01"/>
    <n v="0"/>
    <n v="0"/>
    <n v="0"/>
    <x v="40"/>
    <x v="42"/>
    <x v="7"/>
    <m/>
    <m/>
    <m/>
    <x v="0"/>
  </r>
  <r>
    <s v="4700 - Administrative expenses"/>
    <n v="3651.5"/>
    <m/>
    <n v="3061.75"/>
    <n v="1250"/>
    <n v="4844.5"/>
    <n v="5033.12"/>
    <n v="6500"/>
    <n v="1250"/>
    <n v="1250"/>
    <n v="1250"/>
    <n v="2012.5"/>
    <n v="-254.2"/>
    <n v="3869"/>
    <n v="-5766.5"/>
    <n v="2239.5"/>
    <n v="842.5"/>
    <n v="573.5"/>
    <n v="1235"/>
    <n v="1608.75"/>
    <n v="1493"/>
    <n v="1973"/>
    <n v="2459"/>
    <m/>
    <n v="5819.5"/>
    <n v="2954"/>
    <n v="3578.02"/>
    <n v="7753.02"/>
    <x v="30"/>
    <x v="35"/>
    <n v="0"/>
    <n v="7393.5"/>
    <n v="0"/>
    <n v="0"/>
    <n v="13144.45"/>
    <n v="1863.25"/>
    <n v="310.25"/>
    <x v="38"/>
    <n v="-861.99"/>
    <n v="918.51"/>
    <n v="473.01"/>
    <n v="0"/>
    <n v="0"/>
    <n v="630"/>
    <n v="675"/>
    <n v="720"/>
    <n v="810"/>
    <n v="652.5"/>
    <n v="765"/>
    <n v="630"/>
    <n v="843.98"/>
    <n v="686.02"/>
    <x v="38"/>
    <x v="13"/>
    <x v="22"/>
    <x v="8"/>
    <x v="37"/>
    <n v="3076.74"/>
    <n v="5040.03"/>
    <n v="44106.28"/>
    <n v="16346.25"/>
    <x v="41"/>
    <x v="43"/>
    <x v="44"/>
    <n v="30289.29"/>
    <n v="23477.919999999998"/>
    <n v="6713.25"/>
    <x v="0"/>
  </r>
  <r>
    <s v="4720 - Consulting fees"/>
    <m/>
    <m/>
    <n v="286.5"/>
    <n v="1875"/>
    <n v="283.75"/>
    <n v="1242.5"/>
    <n v="375"/>
    <n v="1756.25"/>
    <n v="1937.5"/>
    <n v="2066.25"/>
    <n v="6311.25"/>
    <n v="19045"/>
    <n v="8041.5"/>
    <n v="1500.01"/>
    <n v="5199.99"/>
    <n v="1670"/>
    <n v="3920"/>
    <n v="3313.33"/>
    <n v="12566.66"/>
    <n v="8500"/>
    <n v="3712.06"/>
    <n v="4588.33"/>
    <n v="5113.08"/>
    <n v="8257.1200000000008"/>
    <n v="10020"/>
    <n v="23338.76"/>
    <n v="18373.25"/>
    <x v="31"/>
    <x v="36"/>
    <n v="36046.65"/>
    <n v="29196.639999999999"/>
    <n v="33156.18"/>
    <n v="28011.09"/>
    <n v="31737.88"/>
    <n v="41375.199999999997"/>
    <n v="43448.88"/>
    <x v="39"/>
    <n v="39958.75"/>
    <n v="33308.82"/>
    <n v="21377.27"/>
    <n v="31720.06"/>
    <n v="42808.17"/>
    <n v="32855.730000000003"/>
    <n v="18586.04"/>
    <n v="47700.56"/>
    <n v="42646.080000000002"/>
    <n v="41582.559999999998"/>
    <n v="30620.95"/>
    <n v="31374.81"/>
    <n v="58391.16"/>
    <n v="44087.98"/>
    <x v="39"/>
    <x v="37"/>
    <x v="39"/>
    <x v="36"/>
    <x v="38"/>
    <n v="416065.88"/>
    <n v="443097.80000000005"/>
    <n v="347131.77999999997"/>
    <n v="66382.080000000002"/>
    <x v="42"/>
    <x v="44"/>
    <x v="45"/>
    <n v="103372.59"/>
    <n v="49634"/>
    <n v="286.5"/>
    <x v="0"/>
  </r>
  <r>
    <s v="4780 - Automation expenses"/>
    <n v="2938.41"/>
    <n v="2942.25"/>
    <n v="2867.46"/>
    <n v="3241.55"/>
    <n v="3415.28"/>
    <n v="1607.1"/>
    <n v="8340.84"/>
    <n v="4740.3599999999997"/>
    <n v="4684.45"/>
    <n v="6941.9"/>
    <n v="5205.62"/>
    <n v="5006.5600000000004"/>
    <n v="5562.04"/>
    <n v="5538.49"/>
    <n v="5878.75"/>
    <n v="12441.63"/>
    <n v="7466.46"/>
    <n v="5253.39"/>
    <n v="5863.62"/>
    <n v="6485.35"/>
    <n v="7404.12"/>
    <n v="5855.92"/>
    <n v="6000.55"/>
    <n v="10385.25"/>
    <n v="7853.2"/>
    <n v="15733.25"/>
    <n v="40915.040000000001"/>
    <x v="32"/>
    <x v="37"/>
    <n v="7747.33"/>
    <n v="27472.57"/>
    <n v="11969.06"/>
    <n v="10657.61"/>
    <n v="21272.720000000001"/>
    <n v="13801.58"/>
    <n v="11118.67"/>
    <x v="40"/>
    <n v="11494.83"/>
    <n v="14369.28"/>
    <n v="12891.14"/>
    <n v="8254.33"/>
    <n v="12004.59"/>
    <n v="11750.04"/>
    <n v="9130.4599999999991"/>
    <n v="18779.61"/>
    <n v="11090.43"/>
    <n v="16499.400000000001"/>
    <n v="12211.73"/>
    <n v="15125.24"/>
    <n v="12365.88"/>
    <n v="17553.54"/>
    <x v="40"/>
    <x v="38"/>
    <x v="40"/>
    <x v="37"/>
    <x v="39"/>
    <n v="137985.66999999998"/>
    <n v="149674.55000000002"/>
    <n v="192963.52"/>
    <n v="84135.57"/>
    <x v="43"/>
    <x v="45"/>
    <x v="46"/>
    <n v="131657.78"/>
    <n v="60162.94"/>
    <n v="8748.119999999999"/>
    <x v="0"/>
  </r>
  <r>
    <s v="4790 - Other general expenses"/>
    <m/>
    <m/>
    <m/>
    <m/>
    <m/>
    <m/>
    <m/>
    <m/>
    <n v="39.950000000000003"/>
    <n v="13.99"/>
    <m/>
    <m/>
    <m/>
    <m/>
    <n v="-27.6"/>
    <m/>
    <m/>
    <m/>
    <m/>
    <m/>
    <m/>
    <m/>
    <m/>
    <m/>
    <m/>
    <m/>
    <m/>
    <x v="12"/>
    <x v="12"/>
    <n v="0"/>
    <n v="0"/>
    <n v="0"/>
    <n v="0"/>
    <n v="0"/>
    <n v="0"/>
    <n v="5463.94"/>
    <x v="41"/>
    <n v="0"/>
    <n v="68"/>
    <n v="0"/>
    <n v="0"/>
    <n v="2385"/>
    <n v="0"/>
    <n v="946.5"/>
    <n v="0"/>
    <n v="2595.2600000000002"/>
    <n v="246.34"/>
    <n v="4290.03"/>
    <n v="0"/>
    <n v="810.03"/>
    <n v="79.41"/>
    <x v="41"/>
    <x v="39"/>
    <x v="41"/>
    <x v="38"/>
    <x v="40"/>
    <n v="2627.94"/>
    <n v="11916.130000000001"/>
    <n v="5463.94"/>
    <n v="-27.6"/>
    <x v="44"/>
    <x v="46"/>
    <x v="47"/>
    <n v="0"/>
    <n v="26.340000000000003"/>
    <n v="0"/>
    <x v="0"/>
  </r>
  <r>
    <s v="Total: General Expenses"/>
    <n v="6589.91"/>
    <n v="2942.25"/>
    <n v="6215.71"/>
    <n v="6366.55"/>
    <n v="8543.5300000000007"/>
    <n v="7882.72"/>
    <n v="15215.84"/>
    <n v="7746.61"/>
    <n v="7911.9"/>
    <n v="10272.14"/>
    <n v="13529.37"/>
    <n v="23797.360000000001"/>
    <n v="17472.54"/>
    <n v="1272"/>
    <n v="13290.64"/>
    <n v="14954.13"/>
    <n v="11959.96"/>
    <n v="9801.7200000000012"/>
    <n v="20039.03"/>
    <n v="16478.349999999999"/>
    <n v="13089.18"/>
    <n v="12903.25"/>
    <n v="11113.630000000001"/>
    <n v="24461.870000000003"/>
    <n v="20827.2"/>
    <n v="42650.03"/>
    <n v="67041.31"/>
    <x v="33"/>
    <x v="38"/>
    <n v="43793.98"/>
    <n v="64062.71"/>
    <n v="45125.24"/>
    <n v="38668.699999999997"/>
    <n v="66155.05"/>
    <n v="57040.03"/>
    <n v="60341.74"/>
    <x v="42"/>
    <n v="50591.590000000004"/>
    <n v="48664.61"/>
    <n v="34741.42"/>
    <n v="39974.39"/>
    <n v="57197.759999999995"/>
    <n v="45235.770000000004"/>
    <n v="29338"/>
    <n v="67200.17"/>
    <n v="57141.770000000004"/>
    <n v="58980.799999999996"/>
    <n v="47887.71"/>
    <n v="49912.29"/>
    <n v="72411.05"/>
    <n v="62406.950000000004"/>
    <x v="42"/>
    <x v="40"/>
    <x v="42"/>
    <x v="39"/>
    <x v="41"/>
    <n v="565928.24000000011"/>
    <n v="609728.51"/>
    <n v="589665.52"/>
    <n v="166836.29999999999"/>
    <x v="45"/>
    <x v="47"/>
    <x v="48"/>
    <n v="265319.66000000003"/>
    <n v="133301.20000000001"/>
    <n v="15747.869999999999"/>
    <x v="3"/>
  </r>
  <r>
    <s v="Depreciation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4801 - Depreciation software"/>
    <m/>
    <m/>
    <m/>
    <m/>
    <m/>
    <m/>
    <m/>
    <m/>
    <n v="20"/>
    <n v="20"/>
    <n v="20"/>
    <n v="20"/>
    <n v="20"/>
    <n v="20"/>
    <n v="20"/>
    <n v="20"/>
    <n v="20"/>
    <n v="767.66"/>
    <n v="573.79"/>
    <n v="610.51"/>
    <n v="547.16"/>
    <n v="747.16"/>
    <n v="747.16"/>
    <n v="747.16"/>
    <n v="747.16"/>
    <n v="747.16"/>
    <n v="822.3"/>
    <x v="34"/>
    <x v="39"/>
    <n v="1031.27"/>
    <n v="1031.27"/>
    <n v="1031.27"/>
    <n v="1031.27"/>
    <n v="1031.27"/>
    <n v="1031.27"/>
    <n v="1031.27"/>
    <x v="43"/>
    <n v="1031.27"/>
    <n v="1031.27"/>
    <n v="1031.27"/>
    <n v="1031.27"/>
    <n v="1031.27"/>
    <n v="1031.27"/>
    <n v="1031.27"/>
    <n v="1031.27"/>
    <n v="1031.27"/>
    <n v="1031.27"/>
    <n v="1031.27"/>
    <n v="1031.27"/>
    <n v="1031.27"/>
    <n v="1031.27"/>
    <x v="43"/>
    <x v="41"/>
    <x v="43"/>
    <x v="40"/>
    <x v="42"/>
    <n v="8250.1600000000017"/>
    <n v="12375.240000000003"/>
    <n v="11509.080000000004"/>
    <n v="4840.5999999999995"/>
    <x v="46"/>
    <x v="48"/>
    <x v="49"/>
    <n v="7097.2199999999993"/>
    <n v="140"/>
    <n v="0"/>
    <x v="0"/>
  </r>
  <r>
    <s v="4802 - Depreciation computers"/>
    <n v="452.64"/>
    <n v="452.64"/>
    <n v="452.64"/>
    <n v="452.64"/>
    <n v="452.64"/>
    <n v="452.64"/>
    <n v="452.64"/>
    <n v="452.64"/>
    <n v="502.23"/>
    <n v="213.6"/>
    <n v="213.6"/>
    <n v="213.6"/>
    <n v="213.6"/>
    <n v="213.6"/>
    <n v="213.6"/>
    <n v="213.6"/>
    <n v="213.6"/>
    <n v="213.6"/>
    <n v="213.6"/>
    <n v="213.6"/>
    <n v="213.6"/>
    <n v="213.6"/>
    <n v="12.16"/>
    <n v="112.88"/>
    <n v="112.88"/>
    <n v="112.88"/>
    <n v="-125.13"/>
    <x v="35"/>
    <x v="40"/>
    <n v="156.08000000000001"/>
    <n v="156.08000000000001"/>
    <n v="156.08000000000001"/>
    <n v="212.35"/>
    <n v="212.35"/>
    <n v="245.61"/>
    <n v="40.659999999999997"/>
    <x v="44"/>
    <n v="185.67"/>
    <n v="185.67"/>
    <n v="185.67"/>
    <n v="185.67"/>
    <n v="185.67"/>
    <n v="185.67"/>
    <n v="185.67"/>
    <n v="185.67"/>
    <n v="185.67"/>
    <n v="185.67"/>
    <n v="185.67"/>
    <n v="185.67"/>
    <n v="185.67"/>
    <n v="185.67"/>
    <x v="44"/>
    <x v="42"/>
    <x v="44"/>
    <x v="41"/>
    <x v="43"/>
    <n v="1437.2099999999998"/>
    <n v="2228.0400000000004"/>
    <n v="1576.0400000000002"/>
    <n v="2261.0399999999995"/>
    <x v="47"/>
    <x v="49"/>
    <x v="50"/>
    <n v="1720.87"/>
    <n v="4047.0299999999993"/>
    <n v="1357.92"/>
    <x v="0"/>
  </r>
  <r>
    <s v="4816 - Depreciation equipment and furniture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n v="41.65"/>
    <m/>
    <x v="12"/>
    <x v="41"/>
    <n v="13.15"/>
    <n v="13.15"/>
    <n v="13.15"/>
    <n v="13.15"/>
    <n v="13.15"/>
    <n v="110.55"/>
    <n v="420.12"/>
    <x v="45"/>
    <n v="512.20000000000005"/>
    <n v="512.20000000000005"/>
    <n v="512.20000000000005"/>
    <n v="512.20000000000005"/>
    <n v="512.20000000000005"/>
    <n v="512.20000000000005"/>
    <n v="512.20000000000005"/>
    <n v="512.20000000000005"/>
    <n v="512.20000000000005"/>
    <n v="512.20000000000005"/>
    <n v="512.20000000000005"/>
    <n v="512.20000000000005"/>
    <n v="512.20000000000005"/>
    <n v="512.20000000000005"/>
    <x v="45"/>
    <x v="43"/>
    <x v="45"/>
    <x v="42"/>
    <x v="44"/>
    <n v="4097.5999999999995"/>
    <n v="6146.3999999999987"/>
    <n v="692.87"/>
    <n v="499.7999999999999"/>
    <x v="48"/>
    <x v="50"/>
    <x v="51"/>
    <n v="458.14999999999992"/>
    <n v="499.7999999999999"/>
    <n v="124.94999999999999"/>
    <x v="0"/>
  </r>
  <r>
    <s v="Total: Depreciation"/>
    <n v="494.29"/>
    <n v="494.29"/>
    <n v="494.29"/>
    <n v="494.29"/>
    <n v="494.29"/>
    <n v="494.29"/>
    <n v="494.29"/>
    <n v="494.29"/>
    <n v="563.88"/>
    <n v="275.25"/>
    <n v="275.25"/>
    <n v="275.25"/>
    <n v="275.25"/>
    <n v="275.25"/>
    <n v="275.25"/>
    <n v="275.25"/>
    <n v="275.25"/>
    <n v="1022.91"/>
    <n v="829.04"/>
    <n v="865.76"/>
    <n v="802.41"/>
    <n v="1002.41"/>
    <n v="800.96999999999991"/>
    <n v="901.68999999999994"/>
    <n v="901.68999999999994"/>
    <n v="901.68999999999994"/>
    <n v="697.17"/>
    <x v="36"/>
    <x v="42"/>
    <n v="1200.5"/>
    <n v="1200.5"/>
    <n v="1200.5"/>
    <n v="1256.77"/>
    <n v="1256.77"/>
    <n v="1387.43"/>
    <n v="1492.0500000000002"/>
    <x v="46"/>
    <n v="1729.14"/>
    <n v="1729.14"/>
    <n v="1729.14"/>
    <n v="1729.14"/>
    <n v="1729.14"/>
    <n v="1729.14"/>
    <n v="1729.14"/>
    <n v="1729.14"/>
    <n v="1729.14"/>
    <n v="1729.14"/>
    <n v="1729.14"/>
    <n v="1729.14"/>
    <n v="1729.14"/>
    <n v="1729.14"/>
    <x v="46"/>
    <x v="44"/>
    <x v="46"/>
    <x v="43"/>
    <x v="45"/>
    <n v="13784.970000000001"/>
    <n v="20749.679999999997"/>
    <n v="13777.990000000002"/>
    <n v="7601.44"/>
    <x v="49"/>
    <x v="51"/>
    <x v="52"/>
    <n v="9276.24"/>
    <n v="4686.83"/>
    <n v="1482.8700000000001"/>
    <x v="3"/>
  </r>
  <r>
    <s v="Financial Income and Expens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n v="0"/>
    <n v="0"/>
    <n v="0"/>
    <n v="0"/>
    <n v="0"/>
    <n v="0"/>
    <n v="0"/>
    <n v="0"/>
    <m/>
    <m/>
    <m/>
    <m/>
    <x v="1"/>
    <x v="1"/>
    <x v="1"/>
    <x v="1"/>
    <x v="1"/>
    <m/>
    <m/>
    <m/>
    <m/>
    <x v="1"/>
    <x v="1"/>
    <x v="1"/>
    <m/>
    <m/>
    <m/>
    <x v="0"/>
  </r>
  <r>
    <s v="9200 - Interest current account GdW Beheer B.V."/>
    <m/>
    <m/>
    <n v="-200.23"/>
    <m/>
    <m/>
    <m/>
    <m/>
    <m/>
    <m/>
    <m/>
    <m/>
    <m/>
    <m/>
    <m/>
    <m/>
    <n v="0"/>
    <m/>
    <m/>
    <m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m/>
    <n v="0"/>
    <x v="14"/>
    <x v="17"/>
    <x v="7"/>
    <n v="0"/>
    <n v="0"/>
    <n v="-200.23"/>
    <x v="0"/>
  </r>
  <r>
    <s v="9203 - Interest current account Shanwick B.V."/>
    <m/>
    <m/>
    <n v="0"/>
    <m/>
    <m/>
    <n v="-312.81"/>
    <n v="-1234.7"/>
    <n v="-1300.96"/>
    <n v="-1389.97"/>
    <n v="-2137.25"/>
    <n v="-2443.84"/>
    <n v="-2640.93"/>
    <n v="-4027.64"/>
    <n v="-11525.17"/>
    <n v="-5036.84"/>
    <n v="-5462.39"/>
    <n v="-6362.03"/>
    <n v="-7048.01"/>
    <n v="-7100.85"/>
    <n v="-7137.39"/>
    <n v="-7597.4"/>
    <n v="-7984.39"/>
    <n v="-9206.2800000000007"/>
    <n v="-9486.93"/>
    <n v="-10127.219999999999"/>
    <n v="-10791.9"/>
    <n v="-11615.6"/>
    <x v="37"/>
    <x v="43"/>
    <n v="-12994.7"/>
    <n v="-13953.05"/>
    <n v="-14880.31"/>
    <n v="-17209.759999999998"/>
    <n v="-18420.48"/>
    <n v="-19041.740000000002"/>
    <n v="-19763.3"/>
    <x v="47"/>
    <n v="-18027.259999999998"/>
    <n v="-20715.54"/>
    <n v="-17278.259999999998"/>
    <n v="-19205.7"/>
    <n v="-20715.46"/>
    <n v="-22131.16"/>
    <n v="-22206.34"/>
    <n v="-21733.32"/>
    <n v="-22531.59"/>
    <n v="-21878.84"/>
    <n v="-26079.73"/>
    <n v="-26168.33"/>
    <n v="-23716.21"/>
    <n v="-23021.86"/>
    <x v="47"/>
    <x v="45"/>
    <x v="47"/>
    <x v="44"/>
    <x v="46"/>
    <n v="-209699.66999999998"/>
    <n v="-252342.73"/>
    <n v="-172154.65999999997"/>
    <n v="-87975.32"/>
    <x v="50"/>
    <x v="52"/>
    <x v="53"/>
    <n v="-32534.720000000001"/>
    <n v="-32050.11"/>
    <n v="0"/>
    <x v="0"/>
  </r>
  <r>
    <s v="9340 - Bank charges"/>
    <m/>
    <n v="80.72"/>
    <n v="555.95000000000005"/>
    <n v="2694.84"/>
    <n v="-604.23"/>
    <n v="-689.41"/>
    <n v="-337.87"/>
    <n v="708.4"/>
    <n v="-694.31"/>
    <n v="-706.58"/>
    <n v="-700.16"/>
    <n v="-647.37"/>
    <n v="-678.37"/>
    <n v="7153.25"/>
    <n v="127.98"/>
    <n v="183.67"/>
    <n v="117.05"/>
    <n v="102.91"/>
    <n v="113.03"/>
    <n v="124.56"/>
    <n v="246.25"/>
    <n v="227.05"/>
    <n v="89.73"/>
    <n v="189.61"/>
    <n v="254.77"/>
    <n v="361.14"/>
    <n v="204.72"/>
    <x v="38"/>
    <x v="44"/>
    <n v="380.47"/>
    <n v="500.81"/>
    <n v="163.77000000000001"/>
    <n v="228.33"/>
    <n v="279.77"/>
    <n v="187.3"/>
    <n v="258.45"/>
    <x v="48"/>
    <n v="178.84"/>
    <n v="170.38"/>
    <n v="367.39"/>
    <n v="265.35000000000002"/>
    <n v="280.62"/>
    <n v="371.66"/>
    <n v="194.98"/>
    <n v="420.97"/>
    <n v="315.32"/>
    <n v="248.22"/>
    <n v="275.38"/>
    <n v="194.74"/>
    <n v="366.6"/>
    <n v="282.33999999999997"/>
    <x v="48"/>
    <x v="46"/>
    <x v="48"/>
    <x v="45"/>
    <x v="47"/>
    <n v="2642.0899999999997"/>
    <n v="3463.66"/>
    <n v="3611.88"/>
    <n v="7996.7199999999993"/>
    <x v="51"/>
    <x v="53"/>
    <x v="54"/>
    <n v="820.63"/>
    <n v="5626.17"/>
    <n v="636.67000000000007"/>
    <x v="0"/>
  </r>
  <r>
    <s v="9341 - Interest current account bank"/>
    <m/>
    <m/>
    <m/>
    <m/>
    <m/>
    <m/>
    <m/>
    <m/>
    <m/>
    <n v="1012.42"/>
    <m/>
    <m/>
    <n v="-133.56"/>
    <m/>
    <m/>
    <n v="-533.71"/>
    <m/>
    <m/>
    <n v="-461.97"/>
    <m/>
    <m/>
    <n v="-67.489999999999995"/>
    <m/>
    <m/>
    <n v="-66.900000000000006"/>
    <m/>
    <m/>
    <x v="39"/>
    <x v="12"/>
    <n v="0"/>
    <n v="-86.34"/>
    <n v="0"/>
    <n v="0"/>
    <n v="-115.95"/>
    <n v="0"/>
    <n v="0"/>
    <x v="49"/>
    <n v="0"/>
    <n v="0"/>
    <n v="-134.72"/>
    <n v="0"/>
    <n v="0"/>
    <n v="-156.04"/>
    <n v="0"/>
    <n v="0"/>
    <n v="-180.05"/>
    <n v="0"/>
    <n v="0"/>
    <n v="-289.7"/>
    <n v="0"/>
    <n v="0"/>
    <x v="49"/>
    <x v="13"/>
    <x v="22"/>
    <x v="46"/>
    <x v="8"/>
    <n v="-932.63999999999987"/>
    <n v="-612.79"/>
    <n v="-330.76"/>
    <n v="-1196.73"/>
    <x v="52"/>
    <x v="54"/>
    <x v="55"/>
    <n v="-66.900000000000006"/>
    <n v="878.8599999999999"/>
    <n v="0"/>
    <x v="0"/>
  </r>
  <r>
    <s v="9345 - Interest tax authorities"/>
    <m/>
    <m/>
    <m/>
    <m/>
    <m/>
    <m/>
    <m/>
    <m/>
    <m/>
    <m/>
    <m/>
    <m/>
    <m/>
    <m/>
    <m/>
    <m/>
    <m/>
    <m/>
    <n v="366"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167"/>
    <n v="0"/>
    <n v="0"/>
    <n v="0"/>
    <n v="0"/>
    <n v="167"/>
    <n v="0"/>
    <n v="0"/>
    <x v="14"/>
    <x v="1"/>
    <x v="1"/>
    <x v="1"/>
    <x v="1"/>
    <n v="167"/>
    <n v="167"/>
    <n v="0"/>
    <n v="366"/>
    <x v="14"/>
    <x v="55"/>
    <x v="7"/>
    <n v="0"/>
    <n v="0"/>
    <n v="0"/>
    <x v="0"/>
  </r>
  <r>
    <s v="9390 - Payment differences"/>
    <n v="-2"/>
    <m/>
    <n v="0"/>
    <n v="0.27"/>
    <m/>
    <n v="-10.45"/>
    <m/>
    <m/>
    <m/>
    <m/>
    <n v="-0.01"/>
    <m/>
    <m/>
    <n v="2.0099999999999998"/>
    <m/>
    <n v="4.3899999999999997"/>
    <n v="-1.76"/>
    <n v="-2.39"/>
    <n v="-2.83"/>
    <n v="-0.98"/>
    <n v="16.71"/>
    <n v="-147.87"/>
    <n v="-9.61"/>
    <n v="18.46"/>
    <n v="20"/>
    <n v="49.89"/>
    <n v="50.84"/>
    <x v="12"/>
    <x v="12"/>
    <n v="0"/>
    <n v="-10.62"/>
    <n v="0"/>
    <n v="0"/>
    <n v="0"/>
    <n v="40"/>
    <n v="0"/>
    <x v="50"/>
    <n v="0"/>
    <n v="0"/>
    <n v="0"/>
    <n v="0"/>
    <n v="0"/>
    <n v="0"/>
    <n v="0"/>
    <n v="0"/>
    <n v="0"/>
    <n v="0"/>
    <n v="0"/>
    <n v="0"/>
    <n v="0"/>
    <n v="242.59"/>
    <x v="50"/>
    <x v="13"/>
    <x v="22"/>
    <x v="8"/>
    <x v="8"/>
    <n v="242.99"/>
    <n v="31.5"/>
    <n v="150.11000000000001"/>
    <n v="-123.86999999999998"/>
    <x v="53"/>
    <x v="56"/>
    <x v="56"/>
    <n v="120.73"/>
    <n v="-8.18"/>
    <n v="-2"/>
    <x v="0"/>
  </r>
  <r>
    <s v="9400 - Currency exchange result"/>
    <m/>
    <m/>
    <m/>
    <n v="-321.38"/>
    <m/>
    <m/>
    <m/>
    <m/>
    <n v="31.8"/>
    <m/>
    <m/>
    <n v="-1051.8800000000001"/>
    <m/>
    <n v="653.36"/>
    <n v="-2.2200000000000002"/>
    <n v="31.02"/>
    <n v="4.5600000000000005"/>
    <n v="-33.44"/>
    <n v="45.47"/>
    <n v="-643.58000000000004"/>
    <n v="-3158.75"/>
    <n v="276.36"/>
    <n v="3107.45"/>
    <n v="1138.99"/>
    <n v="-1970.5"/>
    <n v="-161.44"/>
    <n v="-0.82"/>
    <x v="40"/>
    <x v="45"/>
    <n v="-2028.19"/>
    <n v="2184.87"/>
    <n v="3588.59"/>
    <n v="3170.03"/>
    <n v="-5888.66"/>
    <n v="-6149.08"/>
    <n v="-5161.05"/>
    <x v="51"/>
    <n v="378.1"/>
    <n v="7311.64"/>
    <n v="16243.26"/>
    <n v="-744.5"/>
    <n v="8307.82"/>
    <n v="-5546.08"/>
    <n v="6278.01"/>
    <n v="-15507.03"/>
    <n v="12204.97"/>
    <n v="225.89"/>
    <n v="7676.7"/>
    <n v="6974.5"/>
    <n v="-3684.38"/>
    <n v="-12761.1"/>
    <x v="51"/>
    <x v="47"/>
    <x v="49"/>
    <x v="47"/>
    <x v="48"/>
    <n v="-6859.7899999999981"/>
    <n v="29890.65"/>
    <n v="-13324.64"/>
    <n v="1419.22"/>
    <x v="54"/>
    <x v="57"/>
    <x v="57"/>
    <n v="-2132.7600000000002"/>
    <n v="-690.32"/>
    <n v="0"/>
    <x v="0"/>
  </r>
  <r>
    <s v="9410 - Purchase discounts"/>
    <m/>
    <m/>
    <m/>
    <m/>
    <m/>
    <m/>
    <m/>
    <m/>
    <m/>
    <m/>
    <m/>
    <m/>
    <n v="-54.01"/>
    <m/>
    <m/>
    <m/>
    <m/>
    <m/>
    <m/>
    <m/>
    <m/>
    <m/>
    <m/>
    <m/>
    <m/>
    <m/>
    <m/>
    <x v="12"/>
    <x v="12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m/>
    <n v="-54.01"/>
    <x v="14"/>
    <x v="17"/>
    <x v="7"/>
    <n v="0"/>
    <n v="-54.01"/>
    <n v="0"/>
    <x v="0"/>
  </r>
  <r>
    <s v="9420 - Performance bond result"/>
    <m/>
    <m/>
    <m/>
    <m/>
    <m/>
    <m/>
    <m/>
    <m/>
    <m/>
    <m/>
    <m/>
    <m/>
    <m/>
    <m/>
    <m/>
    <m/>
    <m/>
    <m/>
    <m/>
    <m/>
    <m/>
    <m/>
    <m/>
    <m/>
    <m/>
    <m/>
    <m/>
    <x v="12"/>
    <x v="46"/>
    <n v="0"/>
    <n v="0"/>
    <n v="0"/>
    <n v="0"/>
    <n v="0"/>
    <n v="0"/>
    <n v="0"/>
    <x v="7"/>
    <n v="0"/>
    <n v="0"/>
    <n v="0"/>
    <n v="0"/>
    <n v="0"/>
    <n v="0"/>
    <n v="0"/>
    <n v="0"/>
    <n v="0"/>
    <n v="0"/>
    <n v="0"/>
    <n v="0"/>
    <n v="0"/>
    <n v="0"/>
    <x v="14"/>
    <x v="1"/>
    <x v="1"/>
    <x v="1"/>
    <x v="1"/>
    <n v="0"/>
    <n v="0"/>
    <n v="-1218.51"/>
    <m/>
    <x v="14"/>
    <x v="17"/>
    <x v="58"/>
    <m/>
    <m/>
    <m/>
    <x v="0"/>
  </r>
  <r>
    <s v="Total: Financial Income and Expenses"/>
    <n v="-2"/>
    <n v="80.72"/>
    <n v="355.72"/>
    <n v="2373.73"/>
    <n v="-604.23"/>
    <n v="-1012.67"/>
    <n v="-1572.57"/>
    <n v="-592.55999999999995"/>
    <n v="-2052.48"/>
    <n v="-1831.41"/>
    <n v="-3144.01"/>
    <n v="-4340.18"/>
    <n v="-4893.58"/>
    <n v="-3716.55"/>
    <n v="-4911.08"/>
    <n v="-5777.0199999999995"/>
    <n v="-6242.1799999999994"/>
    <n v="-6980.93"/>
    <n v="-7041.1500000000005"/>
    <n v="-7657.3899999999994"/>
    <n v="-10493.189999999999"/>
    <n v="-7696.34"/>
    <n v="-6018.7100000000019"/>
    <n v="-8139.8700000000008"/>
    <n v="-11889.849999999999"/>
    <n v="-10542.310000000001"/>
    <n v="-11360.86"/>
    <x v="41"/>
    <x v="47"/>
    <n v="-14642.420000000002"/>
    <n v="-11364.330000000002"/>
    <n v="-11127.949999999999"/>
    <n v="-13811.399999999996"/>
    <n v="-24145.32"/>
    <n v="-24963.520000000004"/>
    <n v="-24665.899999999998"/>
    <x v="52"/>
    <n v="-17470.32"/>
    <n v="-13233.52"/>
    <n v="-802.32999999999993"/>
    <n v="-19684.850000000002"/>
    <n v="-12127.02"/>
    <n v="-27461.620000000003"/>
    <n v="-15566.35"/>
    <n v="-36819.379999999997"/>
    <n v="-10191.35"/>
    <n v="-21404.73"/>
    <n v="-18127.649999999998"/>
    <n v="-19121.79"/>
    <n v="-27033.99"/>
    <n v="-35258.03"/>
    <x v="52"/>
    <x v="48"/>
    <x v="50"/>
    <x v="48"/>
    <x v="49"/>
    <n v="-214440.02"/>
    <n v="-219402.71000000005"/>
    <n v="-183266.58"/>
    <n v="-79567.989999999991"/>
    <x v="55"/>
    <x v="58"/>
    <x v="59"/>
    <n v="-99839.8"/>
    <n v="-26297.589999999997"/>
    <n v="434.44000000000005"/>
    <x v="4"/>
  </r>
  <r>
    <s v="Taxes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9800 - Corporate income tax"/>
    <n v="26226"/>
    <n v="24756"/>
    <n v="26296"/>
    <n v="28215"/>
    <n v="32825"/>
    <n v="24693"/>
    <n v="25692"/>
    <n v="54349.17"/>
    <n v="48534.96"/>
    <n v="56290.239999999998"/>
    <n v="48749.24"/>
    <n v="54887.83"/>
    <n v="56382.34"/>
    <n v="37071.24"/>
    <n v="48106.74"/>
    <n v="39876.47"/>
    <n v="55860.56"/>
    <n v="25065.99"/>
    <n v="41580.879999999997"/>
    <n v="45665.95"/>
    <n v="37496.42"/>
    <n v="55103.58"/>
    <n v="58847.98"/>
    <n v="54092.959999999999"/>
    <n v="46642.94"/>
    <n v="37812.83"/>
    <n v="41784.019999999997"/>
    <x v="42"/>
    <x v="48"/>
    <n v="42829.52"/>
    <n v="32034.45"/>
    <n v="80242.11"/>
    <n v="86706"/>
    <n v="75262.12"/>
    <n v="66265"/>
    <n v="63229"/>
    <x v="53"/>
    <n v="54664"/>
    <n v="87840"/>
    <n v="68950"/>
    <n v="81605"/>
    <n v="26394"/>
    <n v="78720"/>
    <n v="85833"/>
    <n v="78748.41"/>
    <n v="107561.76"/>
    <n v="88185.99"/>
    <n v="86825.82"/>
    <n v="67432.36"/>
    <n v="78280"/>
    <n v="93100"/>
    <x v="53"/>
    <x v="49"/>
    <x v="51"/>
    <x v="49"/>
    <x v="50"/>
    <n v="650445.74999999988"/>
    <n v="917062.7"/>
    <n v="671762.22"/>
    <n v="555151.11"/>
    <x v="56"/>
    <x v="59"/>
    <x v="60"/>
    <n v="539830.57999999996"/>
    <n v="515796.76"/>
    <n v="77278"/>
    <x v="0"/>
  </r>
  <r>
    <s v="Total: Taxes"/>
    <n v="26226"/>
    <n v="24756"/>
    <n v="26296"/>
    <n v="28215"/>
    <n v="32825"/>
    <n v="24693"/>
    <n v="25692"/>
    <n v="54349.17"/>
    <n v="48534.96"/>
    <n v="56290.239999999998"/>
    <n v="48749.24"/>
    <n v="54887.83"/>
    <n v="56382.34"/>
    <n v="37071.24"/>
    <n v="48406.74"/>
    <n v="39876.47"/>
    <n v="55860.56"/>
    <n v="25065.99"/>
    <n v="41580.879999999997"/>
    <n v="45665.95"/>
    <n v="37496.42"/>
    <n v="55103.58"/>
    <n v="58847.98"/>
    <n v="54092.959999999999"/>
    <n v="46642.94"/>
    <n v="37812.83"/>
    <n v="41784.019999999997"/>
    <x v="42"/>
    <x v="48"/>
    <n v="42829.52"/>
    <n v="32034.45"/>
    <n v="80242.11"/>
    <n v="86706"/>
    <n v="75262.12"/>
    <n v="66265"/>
    <n v="63229"/>
    <x v="53"/>
    <n v="54664"/>
    <n v="87840"/>
    <n v="68950"/>
    <n v="81605"/>
    <n v="26394"/>
    <n v="78720"/>
    <n v="85833"/>
    <n v="78748.41"/>
    <n v="107561.76"/>
    <n v="88185.99"/>
    <n v="86825.82"/>
    <n v="67432.36"/>
    <n v="78280"/>
    <n v="93100"/>
    <x v="53"/>
    <x v="49"/>
    <x v="51"/>
    <x v="49"/>
    <x v="50"/>
    <n v="650445.74999999988"/>
    <n v="917062.7"/>
    <n v="671762.22"/>
    <n v="555451.11"/>
    <x v="56"/>
    <x v="59"/>
    <x v="60"/>
    <n v="539830.57999999996"/>
    <n v="516096.76"/>
    <n v="77278"/>
    <x v="5"/>
  </r>
  <r>
    <s v="Total: Operating costs"/>
    <n v="109390.89"/>
    <n v="110115.45"/>
    <n v="112944.38"/>
    <n v="113442.07"/>
    <n v="120238.86"/>
    <n v="162808"/>
    <n v="138912.57999999999"/>
    <n v="158678.48000000001"/>
    <n v="149551.91"/>
    <n v="167294.76"/>
    <n v="188425.98"/>
    <n v="190255.54"/>
    <n v="195144.6"/>
    <n v="137713.18"/>
    <n v="217013.55"/>
    <n v="154740.20000000001"/>
    <n v="186275.5"/>
    <n v="236978.55000000005"/>
    <n v="178543.95"/>
    <n v="177950.34000000003"/>
    <n v="171591.93"/>
    <n v="179975.49"/>
    <n v="191750.18"/>
    <n v="224417.22999999998"/>
    <n v="192139.13999999998"/>
    <n v="232550.46000000002"/>
    <n v="254348.22999999995"/>
    <x v="43"/>
    <x v="49"/>
    <n v="237340.54"/>
    <n v="268078.58"/>
    <n v="380075.42999999993"/>
    <n v="304268.83999999997"/>
    <n v="302394.71999999997"/>
    <n v="301460.01"/>
    <n v="293913.18000000005"/>
    <x v="54"/>
    <n v="269483.16000000003"/>
    <n v="329575.43000000005"/>
    <n v="291202.58000000007"/>
    <n v="310756.84999999998"/>
    <n v="469714.79999999993"/>
    <n v="293028.38"/>
    <n v="319168.23"/>
    <n v="364283.04000000004"/>
    <n v="349943.56"/>
    <n v="353448.2"/>
    <n v="391506.09"/>
    <n v="343586.69000000006"/>
    <n v="328979.92000000004"/>
    <n v="370250.05000000005"/>
    <x v="54"/>
    <x v="50"/>
    <x v="52"/>
    <x v="50"/>
    <x v="51"/>
    <n v="2953442.3800000004"/>
    <n v="4065810.74"/>
    <n v="3226011.98"/>
    <n v="2252094.7000000002"/>
    <x v="57"/>
    <x v="60"/>
    <x v="61"/>
    <n v="2381261.1999999997"/>
    <n v="1939479.5100000002"/>
    <n v="332450.71999999997"/>
    <x v="0"/>
  </r>
  <r>
    <s v="Result"/>
    <n v="146959.53999999998"/>
    <n v="139551.78999999998"/>
    <n v="168410.90999999997"/>
    <n v="172606.93"/>
    <n v="187948.24"/>
    <n v="141701.29999999999"/>
    <n v="175196.08"/>
    <n v="159364.07999999999"/>
    <n v="161905.71"/>
    <n v="162121.16999999998"/>
    <n v="129106.23999999996"/>
    <n v="133297.13999999998"/>
    <n v="135450.99999999997"/>
    <n v="159104.84000000003"/>
    <n v="108062.59000000003"/>
    <n v="195733.07"/>
    <n v="205023.55"/>
    <n v="116268.77999999997"/>
    <n v="185543.72999999998"/>
    <n v="198458.75"/>
    <n v="203527.8600000001"/>
    <n v="214375.93"/>
    <n v="208120.65000000008"/>
    <n v="197638.75999999995"/>
    <n v="227394.12000000002"/>
    <n v="164148.54999999999"/>
    <n v="176420.69000000015"/>
    <x v="44"/>
    <x v="50"/>
    <n v="196023.34"/>
    <n v="190689.72000000003"/>
    <n v="88272.410000000091"/>
    <n v="172736.58999999997"/>
    <n v="142501.77999999997"/>
    <n v="208486.45999999996"/>
    <n v="229607.49999999988"/>
    <x v="55"/>
    <n v="208136.07999999996"/>
    <n v="187304.56999999995"/>
    <n v="242522.81999999995"/>
    <n v="233979.31000000006"/>
    <n v="79607.750000000116"/>
    <n v="223835.51"/>
    <n v="242028.49"/>
    <n v="243680.57999999996"/>
    <n v="301519.58"/>
    <n v="261759.15999999997"/>
    <n v="244401.33000000002"/>
    <n v="194385.30999999994"/>
    <n v="223406.57999999984"/>
    <n v="268221.34999999986"/>
    <x v="55"/>
    <x v="51"/>
    <x v="53"/>
    <x v="51"/>
    <x v="52"/>
    <n v="1969796.8099999994"/>
    <n v="2674057.2100000004"/>
    <n v="2241362.3400000003"/>
    <n v="2127309.5100000002"/>
    <x v="58"/>
    <x v="61"/>
    <x v="62"/>
    <n v="2292654.44"/>
    <n v="1825865.3199999998"/>
    <n v="454922.23999999993"/>
    <x v="0"/>
  </r>
  <r>
    <s v="Total: Profit and loss statement"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x v="1"/>
    <m/>
    <m/>
    <m/>
    <m/>
    <m/>
    <m/>
    <m/>
    <m/>
    <m/>
    <m/>
    <m/>
    <m/>
    <m/>
    <m/>
    <x v="1"/>
    <x v="1"/>
    <x v="1"/>
    <x v="1"/>
    <x v="1"/>
    <m/>
    <m/>
    <m/>
    <m/>
    <x v="1"/>
    <x v="1"/>
    <x v="1"/>
    <m/>
    <m/>
    <m/>
    <x v="0"/>
  </r>
  <r>
    <s v="EBIT"/>
    <m/>
    <m/>
    <m/>
    <m/>
    <m/>
    <m/>
    <m/>
    <m/>
    <m/>
    <m/>
    <m/>
    <m/>
    <m/>
    <m/>
    <m/>
    <n v="229832.52000000002"/>
    <n v="254641.93"/>
    <n v="134353.83999999997"/>
    <n v="220083.46"/>
    <n v="236467.31"/>
    <n v="230531.09000000008"/>
    <n v="261783.17"/>
    <n v="260949.92000000007"/>
    <n v="243591.84999999995"/>
    <n v="262147.21000000008"/>
    <n v="191419.07"/>
    <n v="206843.85000000015"/>
    <x v="45"/>
    <x v="51"/>
    <n v="224210.43999999997"/>
    <n v="211359.84000000003"/>
    <n v="157386.57000000007"/>
    <n v="245631.18999999997"/>
    <n v="193618.57999999996"/>
    <n v="249787.93999999994"/>
    <n v="268170.59999999986"/>
    <x v="56"/>
    <n v="245329.75999999995"/>
    <n v="261911.04999999996"/>
    <n v="310670.48999999993"/>
    <n v="295899.46000000008"/>
    <n v="93874.730000000112"/>
    <n v="275093.89"/>
    <n v="312295.14"/>
    <n v="285609.61"/>
    <n v="398889.99000000005"/>
    <n v="328540.42"/>
    <n v="313099.5"/>
    <n v="242695.87999999992"/>
    <n v="274652.58999999985"/>
    <n v="326063.31999999983"/>
    <x v="56"/>
    <x v="52"/>
    <x v="54"/>
    <x v="52"/>
    <x v="53"/>
    <n v="2405802.5399999991"/>
    <n v="3371717.2"/>
    <n v="2729857.9800000004"/>
    <n v="2603192.63"/>
    <x v="59"/>
    <x v="62"/>
    <x v="63"/>
    <n v="2732645.22"/>
    <n v="2315664.4900000002"/>
    <n v="532634.6799999999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4F215-CE1A-48B9-93EA-2E32068EA872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:M4" firstHeaderRow="0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7">
        <item x="8"/>
        <item x="10"/>
        <item x="2"/>
        <item x="4"/>
        <item x="5"/>
        <item x="37"/>
        <item x="41"/>
        <item x="3"/>
        <item x="6"/>
        <item x="40"/>
        <item x="39"/>
        <item x="12"/>
        <item x="35"/>
        <item x="22"/>
        <item x="38"/>
        <item x="27"/>
        <item x="34"/>
        <item x="16"/>
        <item x="36"/>
        <item x="23"/>
        <item x="24"/>
        <item x="18"/>
        <item x="28"/>
        <item x="14"/>
        <item x="30"/>
        <item x="26"/>
        <item x="19"/>
        <item x="13"/>
        <item x="9"/>
        <item x="7"/>
        <item x="25"/>
        <item x="29"/>
        <item x="15"/>
        <item x="20"/>
        <item x="32"/>
        <item x="31"/>
        <item x="17"/>
        <item x="33"/>
        <item x="42"/>
        <item x="11"/>
        <item x="21"/>
        <item x="44"/>
        <item x="43"/>
        <item x="45"/>
        <item x="0"/>
        <item x="1"/>
        <item t="default"/>
      </items>
    </pivotField>
    <pivotField dataField="1" showAll="0">
      <items count="53">
        <item x="8"/>
        <item x="10"/>
        <item x="2"/>
        <item x="4"/>
        <item x="5"/>
        <item x="47"/>
        <item x="43"/>
        <item x="7"/>
        <item x="3"/>
        <item x="6"/>
        <item x="32"/>
        <item x="46"/>
        <item x="45"/>
        <item x="12"/>
        <item x="41"/>
        <item x="27"/>
        <item x="40"/>
        <item x="44"/>
        <item x="16"/>
        <item x="24"/>
        <item x="25"/>
        <item x="20"/>
        <item x="30"/>
        <item x="17"/>
        <item x="39"/>
        <item x="42"/>
        <item x="26"/>
        <item x="22"/>
        <item x="35"/>
        <item x="19"/>
        <item x="28"/>
        <item x="21"/>
        <item x="29"/>
        <item x="33"/>
        <item x="14"/>
        <item x="9"/>
        <item x="13"/>
        <item x="37"/>
        <item x="31"/>
        <item x="15"/>
        <item x="34"/>
        <item x="36"/>
        <item x="18"/>
        <item x="38"/>
        <item x="48"/>
        <item x="11"/>
        <item x="23"/>
        <item x="49"/>
        <item x="50"/>
        <item x="51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58">
        <item x="8"/>
        <item x="10"/>
        <item x="2"/>
        <item x="4"/>
        <item x="5"/>
        <item x="52"/>
        <item x="47"/>
        <item x="3"/>
        <item x="6"/>
        <item x="51"/>
        <item x="49"/>
        <item x="7"/>
        <item x="50"/>
        <item x="30"/>
        <item x="44"/>
        <item x="22"/>
        <item x="38"/>
        <item x="48"/>
        <item x="28"/>
        <item x="25"/>
        <item x="45"/>
        <item x="33"/>
        <item x="43"/>
        <item x="18"/>
        <item x="41"/>
        <item x="29"/>
        <item x="46"/>
        <item x="9"/>
        <item x="20"/>
        <item x="35"/>
        <item x="17"/>
        <item x="15"/>
        <item x="21"/>
        <item x="34"/>
        <item x="27"/>
        <item x="12"/>
        <item x="31"/>
        <item x="14"/>
        <item x="32"/>
        <item x="24"/>
        <item x="26"/>
        <item x="13"/>
        <item x="40"/>
        <item x="16"/>
        <item x="36"/>
        <item x="37"/>
        <item x="19"/>
        <item x="39"/>
        <item x="53"/>
        <item x="42"/>
        <item x="11"/>
        <item x="23"/>
        <item x="55"/>
        <item x="56"/>
        <item x="54"/>
        <item x="0"/>
        <item x="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8">
        <item x="9"/>
        <item x="11"/>
        <item x="2"/>
        <item x="4"/>
        <item x="5"/>
        <item x="6"/>
        <item x="47"/>
        <item x="3"/>
        <item x="52"/>
        <item x="8"/>
        <item x="7"/>
        <item x="33"/>
        <item x="49"/>
        <item x="13"/>
        <item x="50"/>
        <item x="41"/>
        <item x="31"/>
        <item x="44"/>
        <item x="48"/>
        <item x="24"/>
        <item x="29"/>
        <item x="19"/>
        <item x="27"/>
        <item x="45"/>
        <item x="38"/>
        <item x="18"/>
        <item x="43"/>
        <item x="46"/>
        <item x="20"/>
        <item x="22"/>
        <item x="34"/>
        <item x="23"/>
        <item x="37"/>
        <item x="36"/>
        <item x="30"/>
        <item x="35"/>
        <item x="32"/>
        <item x="51"/>
        <item x="16"/>
        <item x="26"/>
        <item x="28"/>
        <item x="15"/>
        <item x="10"/>
        <item x="17"/>
        <item x="40"/>
        <item x="21"/>
        <item x="39"/>
        <item x="53"/>
        <item x="42"/>
        <item x="12"/>
        <item x="25"/>
        <item x="55"/>
        <item x="56"/>
        <item x="54"/>
        <item x="0"/>
        <item x="14"/>
        <item x="1"/>
        <item t="default"/>
      </items>
    </pivotField>
    <pivotField showAll="0">
      <items count="54">
        <item x="9"/>
        <item x="11"/>
        <item x="2"/>
        <item x="4"/>
        <item x="5"/>
        <item x="6"/>
        <item x="48"/>
        <item x="45"/>
        <item x="8"/>
        <item x="3"/>
        <item x="7"/>
        <item x="47"/>
        <item x="13"/>
        <item x="30"/>
        <item x="36"/>
        <item x="42"/>
        <item x="23"/>
        <item x="46"/>
        <item x="28"/>
        <item x="33"/>
        <item x="26"/>
        <item x="43"/>
        <item x="18"/>
        <item x="41"/>
        <item x="39"/>
        <item x="44"/>
        <item x="19"/>
        <item x="21"/>
        <item x="29"/>
        <item x="31"/>
        <item x="17"/>
        <item x="22"/>
        <item x="34"/>
        <item x="25"/>
        <item x="27"/>
        <item x="15"/>
        <item x="38"/>
        <item x="14"/>
        <item x="10"/>
        <item x="32"/>
        <item x="16"/>
        <item x="35"/>
        <item x="20"/>
        <item x="37"/>
        <item x="40"/>
        <item x="49"/>
        <item x="12"/>
        <item x="24"/>
        <item x="51"/>
        <item x="52"/>
        <item x="50"/>
        <item x="0"/>
        <item x="1"/>
        <item t="default"/>
      </items>
    </pivotField>
    <pivotField showAll="0">
      <items count="56">
        <item x="11"/>
        <item x="9"/>
        <item x="2"/>
        <item x="4"/>
        <item x="5"/>
        <item x="50"/>
        <item x="6"/>
        <item x="3"/>
        <item x="47"/>
        <item x="49"/>
        <item x="7"/>
        <item x="8"/>
        <item x="10"/>
        <item x="22"/>
        <item x="31"/>
        <item x="44"/>
        <item x="18"/>
        <item x="41"/>
        <item x="24"/>
        <item x="48"/>
        <item x="27"/>
        <item x="45"/>
        <item x="36"/>
        <item x="43"/>
        <item x="33"/>
        <item x="46"/>
        <item x="19"/>
        <item x="29"/>
        <item x="21"/>
        <item x="35"/>
        <item x="30"/>
        <item x="32"/>
        <item x="37"/>
        <item x="34"/>
        <item x="26"/>
        <item x="15"/>
        <item x="28"/>
        <item x="40"/>
        <item x="23"/>
        <item x="14"/>
        <item x="17"/>
        <item x="38"/>
        <item x="16"/>
        <item x="13"/>
        <item x="20"/>
        <item x="39"/>
        <item x="42"/>
        <item x="51"/>
        <item x="12"/>
        <item x="25"/>
        <item x="53"/>
        <item x="54"/>
        <item x="52"/>
        <item x="0"/>
        <item x="1"/>
        <item t="default"/>
      </items>
    </pivotField>
    <pivotField showAll="0">
      <items count="54">
        <item x="9"/>
        <item x="11"/>
        <item x="2"/>
        <item x="4"/>
        <item x="5"/>
        <item x="6"/>
        <item x="44"/>
        <item x="48"/>
        <item x="3"/>
        <item x="7"/>
        <item x="46"/>
        <item x="8"/>
        <item x="33"/>
        <item x="38"/>
        <item x="41"/>
        <item x="10"/>
        <item x="18"/>
        <item x="23"/>
        <item x="26"/>
        <item x="42"/>
        <item x="45"/>
        <item x="40"/>
        <item x="43"/>
        <item x="17"/>
        <item x="19"/>
        <item x="21"/>
        <item x="31"/>
        <item x="22"/>
        <item x="47"/>
        <item x="28"/>
        <item x="32"/>
        <item x="29"/>
        <item x="34"/>
        <item x="25"/>
        <item x="30"/>
        <item x="15"/>
        <item x="27"/>
        <item x="14"/>
        <item x="35"/>
        <item x="13"/>
        <item x="37"/>
        <item x="20"/>
        <item x="16"/>
        <item x="36"/>
        <item x="49"/>
        <item x="39"/>
        <item x="12"/>
        <item x="51"/>
        <item x="24"/>
        <item x="52"/>
        <item x="50"/>
        <item x="0"/>
        <item x="1"/>
        <item t="default"/>
      </items>
    </pivotField>
    <pivotField showAll="0">
      <items count="55">
        <item x="11"/>
        <item x="9"/>
        <item x="2"/>
        <item x="4"/>
        <item x="5"/>
        <item x="6"/>
        <item x="46"/>
        <item x="49"/>
        <item x="3"/>
        <item x="7"/>
        <item x="10"/>
        <item x="8"/>
        <item x="29"/>
        <item x="37"/>
        <item x="43"/>
        <item x="40"/>
        <item x="47"/>
        <item x="23"/>
        <item x="26"/>
        <item x="18"/>
        <item x="44"/>
        <item x="34"/>
        <item x="42"/>
        <item x="45"/>
        <item x="19"/>
        <item x="21"/>
        <item x="17"/>
        <item x="22"/>
        <item x="32"/>
        <item x="33"/>
        <item x="31"/>
        <item x="35"/>
        <item x="48"/>
        <item x="28"/>
        <item x="30"/>
        <item x="25"/>
        <item x="15"/>
        <item x="27"/>
        <item x="14"/>
        <item x="36"/>
        <item x="39"/>
        <item x="16"/>
        <item x="13"/>
        <item x="20"/>
        <item x="38"/>
        <item x="41"/>
        <item x="50"/>
        <item x="12"/>
        <item x="24"/>
        <item x="52"/>
        <item x="53"/>
        <item x="51"/>
        <item x="0"/>
        <item x="1"/>
        <item t="default"/>
      </items>
    </pivotField>
    <pivotField showAll="0"/>
    <pivotField showAll="0"/>
    <pivotField showAll="0"/>
    <pivotField showAll="0"/>
    <pivotField showAll="0">
      <items count="61">
        <item x="9"/>
        <item x="11"/>
        <item x="2"/>
        <item x="4"/>
        <item x="5"/>
        <item x="6"/>
        <item x="50"/>
        <item x="55"/>
        <item x="3"/>
        <item x="7"/>
        <item x="8"/>
        <item x="52"/>
        <item x="14"/>
        <item x="53"/>
        <item x="31"/>
        <item x="47"/>
        <item x="41"/>
        <item x="24"/>
        <item x="44"/>
        <item x="51"/>
        <item x="37"/>
        <item x="19"/>
        <item x="27"/>
        <item x="48"/>
        <item x="54"/>
        <item x="36"/>
        <item x="35"/>
        <item x="40"/>
        <item x="46"/>
        <item x="29"/>
        <item x="49"/>
        <item x="20"/>
        <item x="22"/>
        <item x="34"/>
        <item x="33"/>
        <item x="10"/>
        <item x="18"/>
        <item x="23"/>
        <item x="30"/>
        <item x="38"/>
        <item x="32"/>
        <item x="26"/>
        <item x="16"/>
        <item x="28"/>
        <item x="13"/>
        <item x="15"/>
        <item x="39"/>
        <item x="43"/>
        <item x="17"/>
        <item x="21"/>
        <item x="42"/>
        <item x="45"/>
        <item x="56"/>
        <item x="12"/>
        <item x="25"/>
        <item x="58"/>
        <item x="59"/>
        <item x="57"/>
        <item x="0"/>
        <item x="1"/>
        <item t="default"/>
      </items>
    </pivotField>
    <pivotField showAll="0">
      <items count="64">
        <item x="9"/>
        <item x="11"/>
        <item x="2"/>
        <item x="4"/>
        <item x="5"/>
        <item x="6"/>
        <item x="52"/>
        <item x="58"/>
        <item x="3"/>
        <item x="7"/>
        <item x="8"/>
        <item x="54"/>
        <item x="17"/>
        <item x="56"/>
        <item x="55"/>
        <item x="32"/>
        <item x="34"/>
        <item x="49"/>
        <item x="42"/>
        <item x="18"/>
        <item x="53"/>
        <item x="26"/>
        <item x="29"/>
        <item x="50"/>
        <item x="43"/>
        <item x="31"/>
        <item x="46"/>
        <item x="48"/>
        <item x="21"/>
        <item x="57"/>
        <item x="22"/>
        <item x="51"/>
        <item x="20"/>
        <item x="24"/>
        <item x="39"/>
        <item x="38"/>
        <item x="37"/>
        <item x="14"/>
        <item x="33"/>
        <item x="25"/>
        <item x="36"/>
        <item x="35"/>
        <item x="10"/>
        <item x="16"/>
        <item x="28"/>
        <item x="30"/>
        <item x="15"/>
        <item x="40"/>
        <item x="45"/>
        <item x="13"/>
        <item x="19"/>
        <item x="41"/>
        <item x="23"/>
        <item x="44"/>
        <item x="47"/>
        <item x="59"/>
        <item x="12"/>
        <item x="27"/>
        <item x="61"/>
        <item x="62"/>
        <item x="60"/>
        <item x="0"/>
        <item x="1"/>
        <item t="default"/>
      </items>
    </pivotField>
    <pivotField showAll="0">
      <items count="65">
        <item x="9"/>
        <item x="11"/>
        <item x="2"/>
        <item x="4"/>
        <item x="5"/>
        <item x="59"/>
        <item x="53"/>
        <item x="3"/>
        <item x="6"/>
        <item x="8"/>
        <item x="57"/>
        <item x="58"/>
        <item x="55"/>
        <item x="7"/>
        <item x="56"/>
        <item x="32"/>
        <item x="34"/>
        <item x="39"/>
        <item x="29"/>
        <item x="50"/>
        <item x="51"/>
        <item x="54"/>
        <item x="25"/>
        <item x="28"/>
        <item x="17"/>
        <item x="47"/>
        <item x="38"/>
        <item x="19"/>
        <item x="31"/>
        <item x="37"/>
        <item x="49"/>
        <item x="20"/>
        <item x="52"/>
        <item x="24"/>
        <item x="22"/>
        <item x="41"/>
        <item x="14"/>
        <item x="44"/>
        <item x="40"/>
        <item x="33"/>
        <item x="36"/>
        <item x="35"/>
        <item x="16"/>
        <item x="23"/>
        <item x="27"/>
        <item x="30"/>
        <item x="13"/>
        <item x="42"/>
        <item x="15"/>
        <item x="10"/>
        <item x="46"/>
        <item x="18"/>
        <item x="43"/>
        <item x="21"/>
        <item x="45"/>
        <item x="48"/>
        <item x="60"/>
        <item x="12"/>
        <item x="26"/>
        <item x="62"/>
        <item x="63"/>
        <item x="61"/>
        <item x="0"/>
        <item x="1"/>
        <item t="default"/>
      </items>
    </pivotField>
    <pivotField showAll="0"/>
    <pivotField showAll="0"/>
    <pivotField showAll="0"/>
    <pivotField axis="axisRow" showAll="0">
      <items count="7">
        <item h="1" x="1"/>
        <item h="1" x="3"/>
        <item x="4"/>
        <item h="1" x="2"/>
        <item x="5"/>
        <item h="1" x="0"/>
        <item t="default"/>
      </items>
    </pivotField>
  </pivotFields>
  <rowFields count="1">
    <field x="67"/>
  </rowFields>
  <rowItems count="3">
    <i>
      <x v="2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20244" fld="28" baseField="67" baseItem="0"/>
    <dataField name="Sum of 20245" fld="29" baseField="67" baseItem="0"/>
    <dataField name="Sum of 20246" fld="30" baseField="67" baseItem="0"/>
    <dataField name="Sum of 20247" fld="31" baseField="67" baseItem="0"/>
    <dataField name="Sum of 20248" fld="32" baseField="67" baseItem="0"/>
    <dataField name="Sum of 20249" fld="33" baseField="67" baseItem="0"/>
    <dataField name="Sum of 202410" fld="34" baseField="67" baseItem="0"/>
    <dataField name="Sum of 202411" fld="35" baseField="67" baseItem="0"/>
    <dataField name="Sum of 202412" fld="36" baseField="67" baseItem="0"/>
    <dataField name="Sum of 2025" fld="37" baseField="67" baseItem="0"/>
    <dataField name="Sum of 20252" fld="38" baseField="67" baseItem="0"/>
    <dataField name="Sum of 20253" fld="39" baseField="67" baseItem="0"/>
  </dataFields>
  <formats count="2"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0D0CE-5F3B-41B7-995D-CB8972B6B33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M10" firstHeaderRow="0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8">
        <item x="8"/>
        <item x="10"/>
        <item x="2"/>
        <item x="4"/>
        <item x="5"/>
        <item x="52"/>
        <item x="47"/>
        <item x="3"/>
        <item x="6"/>
        <item x="51"/>
        <item x="49"/>
        <item x="7"/>
        <item x="50"/>
        <item x="30"/>
        <item x="44"/>
        <item x="22"/>
        <item x="38"/>
        <item x="48"/>
        <item x="28"/>
        <item x="25"/>
        <item x="45"/>
        <item x="33"/>
        <item x="43"/>
        <item x="18"/>
        <item x="41"/>
        <item x="29"/>
        <item x="46"/>
        <item x="9"/>
        <item x="20"/>
        <item x="35"/>
        <item x="17"/>
        <item x="15"/>
        <item x="21"/>
        <item x="34"/>
        <item x="27"/>
        <item x="12"/>
        <item x="31"/>
        <item x="14"/>
        <item x="32"/>
        <item x="24"/>
        <item x="26"/>
        <item x="13"/>
        <item x="40"/>
        <item x="16"/>
        <item x="36"/>
        <item x="37"/>
        <item x="19"/>
        <item x="39"/>
        <item x="53"/>
        <item x="42"/>
        <item x="11"/>
        <item x="23"/>
        <item x="55"/>
        <item x="56"/>
        <item x="54"/>
        <item x="0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58">
        <item x="9"/>
        <item x="11"/>
        <item x="2"/>
        <item x="4"/>
        <item x="5"/>
        <item x="6"/>
        <item x="47"/>
        <item x="3"/>
        <item x="52"/>
        <item x="8"/>
        <item x="7"/>
        <item x="33"/>
        <item x="49"/>
        <item x="13"/>
        <item x="50"/>
        <item x="41"/>
        <item x="31"/>
        <item x="44"/>
        <item x="48"/>
        <item x="24"/>
        <item x="29"/>
        <item x="19"/>
        <item x="27"/>
        <item x="45"/>
        <item x="38"/>
        <item x="18"/>
        <item x="43"/>
        <item x="46"/>
        <item x="20"/>
        <item x="22"/>
        <item x="34"/>
        <item x="23"/>
        <item x="37"/>
        <item x="36"/>
        <item x="30"/>
        <item x="35"/>
        <item x="32"/>
        <item x="51"/>
        <item x="16"/>
        <item x="26"/>
        <item x="28"/>
        <item x="15"/>
        <item x="10"/>
        <item x="17"/>
        <item x="40"/>
        <item x="21"/>
        <item x="39"/>
        <item x="53"/>
        <item x="42"/>
        <item x="12"/>
        <item x="25"/>
        <item x="55"/>
        <item x="56"/>
        <item x="54"/>
        <item x="0"/>
        <item x="14"/>
        <item x="1"/>
        <item t="default"/>
      </items>
    </pivotField>
    <pivotField showAll="0">
      <items count="54">
        <item x="9"/>
        <item x="11"/>
        <item x="2"/>
        <item x="4"/>
        <item x="5"/>
        <item x="6"/>
        <item x="48"/>
        <item x="45"/>
        <item x="8"/>
        <item x="3"/>
        <item x="7"/>
        <item x="47"/>
        <item x="13"/>
        <item x="30"/>
        <item x="36"/>
        <item x="42"/>
        <item x="23"/>
        <item x="46"/>
        <item x="28"/>
        <item x="33"/>
        <item x="26"/>
        <item x="43"/>
        <item x="18"/>
        <item x="41"/>
        <item x="39"/>
        <item x="44"/>
        <item x="19"/>
        <item x="21"/>
        <item x="29"/>
        <item x="31"/>
        <item x="17"/>
        <item x="22"/>
        <item x="34"/>
        <item x="25"/>
        <item x="27"/>
        <item x="15"/>
        <item x="38"/>
        <item x="14"/>
        <item x="10"/>
        <item x="32"/>
        <item x="16"/>
        <item x="35"/>
        <item x="20"/>
        <item x="37"/>
        <item x="40"/>
        <item x="49"/>
        <item x="12"/>
        <item x="24"/>
        <item x="51"/>
        <item x="52"/>
        <item x="50"/>
        <item x="0"/>
        <item x="1"/>
        <item t="default"/>
      </items>
    </pivotField>
    <pivotField showAll="0">
      <items count="56">
        <item x="11"/>
        <item x="9"/>
        <item x="2"/>
        <item x="4"/>
        <item x="5"/>
        <item x="50"/>
        <item x="6"/>
        <item x="3"/>
        <item x="47"/>
        <item x="49"/>
        <item x="7"/>
        <item x="8"/>
        <item x="10"/>
        <item x="22"/>
        <item x="31"/>
        <item x="44"/>
        <item x="18"/>
        <item x="41"/>
        <item x="24"/>
        <item x="48"/>
        <item x="27"/>
        <item x="45"/>
        <item x="36"/>
        <item x="43"/>
        <item x="33"/>
        <item x="46"/>
        <item x="19"/>
        <item x="29"/>
        <item x="21"/>
        <item x="35"/>
        <item x="30"/>
        <item x="32"/>
        <item x="37"/>
        <item x="34"/>
        <item x="26"/>
        <item x="15"/>
        <item x="28"/>
        <item x="40"/>
        <item x="23"/>
        <item x="14"/>
        <item x="17"/>
        <item x="38"/>
        <item x="16"/>
        <item x="13"/>
        <item x="20"/>
        <item x="39"/>
        <item x="42"/>
        <item x="51"/>
        <item x="12"/>
        <item x="25"/>
        <item x="53"/>
        <item x="54"/>
        <item x="52"/>
        <item x="0"/>
        <item x="1"/>
        <item t="default"/>
      </items>
    </pivotField>
    <pivotField showAll="0">
      <items count="54">
        <item x="9"/>
        <item x="11"/>
        <item x="2"/>
        <item x="4"/>
        <item x="5"/>
        <item x="6"/>
        <item x="44"/>
        <item x="48"/>
        <item x="3"/>
        <item x="7"/>
        <item x="46"/>
        <item x="8"/>
        <item x="33"/>
        <item x="38"/>
        <item x="41"/>
        <item x="10"/>
        <item x="18"/>
        <item x="23"/>
        <item x="26"/>
        <item x="42"/>
        <item x="45"/>
        <item x="40"/>
        <item x="43"/>
        <item x="17"/>
        <item x="19"/>
        <item x="21"/>
        <item x="31"/>
        <item x="22"/>
        <item x="47"/>
        <item x="28"/>
        <item x="32"/>
        <item x="29"/>
        <item x="34"/>
        <item x="25"/>
        <item x="30"/>
        <item x="15"/>
        <item x="27"/>
        <item x="14"/>
        <item x="35"/>
        <item x="13"/>
        <item x="37"/>
        <item x="20"/>
        <item x="16"/>
        <item x="36"/>
        <item x="49"/>
        <item x="39"/>
        <item x="12"/>
        <item x="51"/>
        <item x="24"/>
        <item x="52"/>
        <item x="50"/>
        <item x="0"/>
        <item x="1"/>
        <item t="default"/>
      </items>
    </pivotField>
    <pivotField showAll="0">
      <items count="55">
        <item x="11"/>
        <item x="9"/>
        <item x="2"/>
        <item x="4"/>
        <item x="5"/>
        <item x="6"/>
        <item x="46"/>
        <item x="49"/>
        <item x="3"/>
        <item x="7"/>
        <item x="10"/>
        <item x="8"/>
        <item x="29"/>
        <item x="37"/>
        <item x="43"/>
        <item x="40"/>
        <item x="47"/>
        <item x="23"/>
        <item x="26"/>
        <item x="18"/>
        <item x="44"/>
        <item x="34"/>
        <item x="42"/>
        <item x="45"/>
        <item x="19"/>
        <item x="21"/>
        <item x="17"/>
        <item x="22"/>
        <item x="32"/>
        <item x="33"/>
        <item x="31"/>
        <item x="35"/>
        <item x="48"/>
        <item x="28"/>
        <item x="30"/>
        <item x="25"/>
        <item x="15"/>
        <item x="27"/>
        <item x="14"/>
        <item x="36"/>
        <item x="39"/>
        <item x="16"/>
        <item x="13"/>
        <item x="20"/>
        <item x="38"/>
        <item x="41"/>
        <item x="50"/>
        <item x="12"/>
        <item x="24"/>
        <item x="52"/>
        <item x="53"/>
        <item x="51"/>
        <item x="0"/>
        <item x="1"/>
        <item t="default"/>
      </items>
    </pivotField>
    <pivotField showAll="0"/>
    <pivotField showAll="0"/>
    <pivotField showAll="0"/>
    <pivotField showAll="0"/>
    <pivotField showAll="0">
      <items count="61">
        <item x="9"/>
        <item x="11"/>
        <item x="2"/>
        <item x="4"/>
        <item x="5"/>
        <item x="6"/>
        <item x="50"/>
        <item x="55"/>
        <item x="3"/>
        <item x="7"/>
        <item x="8"/>
        <item x="52"/>
        <item x="14"/>
        <item x="53"/>
        <item x="31"/>
        <item x="47"/>
        <item x="41"/>
        <item x="24"/>
        <item x="44"/>
        <item x="51"/>
        <item x="37"/>
        <item x="19"/>
        <item x="27"/>
        <item x="48"/>
        <item x="54"/>
        <item x="36"/>
        <item x="35"/>
        <item x="40"/>
        <item x="46"/>
        <item x="29"/>
        <item x="49"/>
        <item x="20"/>
        <item x="22"/>
        <item x="34"/>
        <item x="33"/>
        <item x="10"/>
        <item x="18"/>
        <item x="23"/>
        <item x="30"/>
        <item x="38"/>
        <item x="32"/>
        <item x="26"/>
        <item x="16"/>
        <item x="28"/>
        <item x="13"/>
        <item x="15"/>
        <item x="39"/>
        <item x="43"/>
        <item x="17"/>
        <item x="21"/>
        <item x="42"/>
        <item x="45"/>
        <item x="56"/>
        <item x="12"/>
        <item x="25"/>
        <item x="58"/>
        <item x="59"/>
        <item x="57"/>
        <item x="0"/>
        <item x="1"/>
        <item t="default"/>
      </items>
    </pivotField>
    <pivotField showAll="0">
      <items count="64">
        <item x="9"/>
        <item x="11"/>
        <item x="2"/>
        <item x="4"/>
        <item x="5"/>
        <item x="6"/>
        <item x="52"/>
        <item x="58"/>
        <item x="3"/>
        <item x="7"/>
        <item x="8"/>
        <item x="54"/>
        <item x="17"/>
        <item x="56"/>
        <item x="55"/>
        <item x="32"/>
        <item x="34"/>
        <item x="49"/>
        <item x="42"/>
        <item x="18"/>
        <item x="53"/>
        <item x="26"/>
        <item x="29"/>
        <item x="50"/>
        <item x="43"/>
        <item x="31"/>
        <item x="46"/>
        <item x="48"/>
        <item x="21"/>
        <item x="57"/>
        <item x="22"/>
        <item x="51"/>
        <item x="20"/>
        <item x="24"/>
        <item x="39"/>
        <item x="38"/>
        <item x="37"/>
        <item x="14"/>
        <item x="33"/>
        <item x="25"/>
        <item x="36"/>
        <item x="35"/>
        <item x="10"/>
        <item x="16"/>
        <item x="28"/>
        <item x="30"/>
        <item x="15"/>
        <item x="40"/>
        <item x="45"/>
        <item x="13"/>
        <item x="19"/>
        <item x="41"/>
        <item x="23"/>
        <item x="44"/>
        <item x="47"/>
        <item x="59"/>
        <item x="12"/>
        <item x="27"/>
        <item x="61"/>
        <item x="62"/>
        <item x="60"/>
        <item x="0"/>
        <item x="1"/>
        <item t="default"/>
      </items>
    </pivotField>
    <pivotField showAll="0">
      <items count="65">
        <item x="9"/>
        <item x="11"/>
        <item x="2"/>
        <item x="4"/>
        <item x="5"/>
        <item x="59"/>
        <item x="53"/>
        <item x="3"/>
        <item x="6"/>
        <item x="8"/>
        <item x="57"/>
        <item x="58"/>
        <item x="55"/>
        <item x="7"/>
        <item x="56"/>
        <item x="32"/>
        <item x="34"/>
        <item x="39"/>
        <item x="29"/>
        <item x="50"/>
        <item x="51"/>
        <item x="54"/>
        <item x="25"/>
        <item x="28"/>
        <item x="17"/>
        <item x="47"/>
        <item x="38"/>
        <item x="19"/>
        <item x="31"/>
        <item x="37"/>
        <item x="49"/>
        <item x="20"/>
        <item x="52"/>
        <item x="24"/>
        <item x="22"/>
        <item x="41"/>
        <item x="14"/>
        <item x="44"/>
        <item x="40"/>
        <item x="33"/>
        <item x="36"/>
        <item x="35"/>
        <item x="16"/>
        <item x="23"/>
        <item x="27"/>
        <item x="30"/>
        <item x="13"/>
        <item x="42"/>
        <item x="15"/>
        <item x="10"/>
        <item x="46"/>
        <item x="18"/>
        <item x="43"/>
        <item x="21"/>
        <item x="45"/>
        <item x="48"/>
        <item x="60"/>
        <item x="12"/>
        <item x="26"/>
        <item x="62"/>
        <item x="63"/>
        <item x="61"/>
        <item x="0"/>
        <item x="1"/>
        <item t="default"/>
      </items>
    </pivotField>
    <pivotField showAll="0"/>
    <pivotField showAll="0"/>
    <pivotField showAll="0"/>
    <pivotField axis="axisRow" showAll="0">
      <items count="7">
        <item h="1" x="1"/>
        <item h="1" x="3"/>
        <item x="4"/>
        <item h="1" x="2"/>
        <item x="5"/>
        <item h="1" x="0"/>
        <item t="default"/>
      </items>
    </pivotField>
  </pivotFields>
  <rowFields count="1">
    <field x="67"/>
  </rowFields>
  <rowItems count="3">
    <i>
      <x v="2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20254" fld="40" baseField="67" baseItem="0"/>
    <dataField name="Sum of 20255" fld="41" baseField="67" baseItem="0"/>
    <dataField name="Sum of 20256" fld="42" baseField="67" baseItem="0"/>
    <dataField name="Sum of 20257" fld="43" baseField="67" baseItem="0"/>
    <dataField name="Sum of 20258" fld="44" baseField="67" baseItem="0"/>
    <dataField name="Sum of 20259" fld="45" baseField="67" baseItem="0"/>
    <dataField name="Sum of 202510" fld="46" baseField="67" baseItem="0"/>
    <dataField name="Sum of 202511" fld="47" baseField="67" baseItem="0"/>
    <dataField name="Sum of 202512" fld="48" baseField="67" baseItem="0"/>
    <dataField name="Sum of 2026" fld="49" baseField="67" baseItem="0"/>
    <dataField name="Sum of 20262" fld="50" baseField="67" baseItem="0"/>
    <dataField name="Sum of 20263" fld="51" baseField="67" baseItem="0"/>
  </dataFields>
  <formats count="2"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221CD-334B-40A2-9090-444A307AE35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M17" firstHeaderRow="0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8">
        <item x="8"/>
        <item x="10"/>
        <item x="2"/>
        <item x="4"/>
        <item x="5"/>
        <item x="52"/>
        <item x="47"/>
        <item x="3"/>
        <item x="6"/>
        <item x="51"/>
        <item x="49"/>
        <item x="7"/>
        <item x="50"/>
        <item x="30"/>
        <item x="44"/>
        <item x="22"/>
        <item x="38"/>
        <item x="48"/>
        <item x="28"/>
        <item x="25"/>
        <item x="45"/>
        <item x="33"/>
        <item x="43"/>
        <item x="18"/>
        <item x="41"/>
        <item x="29"/>
        <item x="46"/>
        <item x="9"/>
        <item x="20"/>
        <item x="35"/>
        <item x="17"/>
        <item x="15"/>
        <item x="21"/>
        <item x="34"/>
        <item x="27"/>
        <item x="12"/>
        <item x="31"/>
        <item x="14"/>
        <item x="32"/>
        <item x="24"/>
        <item x="26"/>
        <item x="13"/>
        <item x="40"/>
        <item x="16"/>
        <item x="36"/>
        <item x="37"/>
        <item x="19"/>
        <item x="39"/>
        <item x="53"/>
        <item x="42"/>
        <item x="11"/>
        <item x="23"/>
        <item x="55"/>
        <item x="56"/>
        <item x="54"/>
        <item x="0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58">
        <item x="9"/>
        <item x="11"/>
        <item x="2"/>
        <item x="4"/>
        <item x="5"/>
        <item x="6"/>
        <item x="47"/>
        <item x="3"/>
        <item x="52"/>
        <item x="8"/>
        <item x="7"/>
        <item x="33"/>
        <item x="49"/>
        <item x="13"/>
        <item x="50"/>
        <item x="41"/>
        <item x="31"/>
        <item x="44"/>
        <item x="48"/>
        <item x="24"/>
        <item x="29"/>
        <item x="19"/>
        <item x="27"/>
        <item x="45"/>
        <item x="38"/>
        <item x="18"/>
        <item x="43"/>
        <item x="46"/>
        <item x="20"/>
        <item x="22"/>
        <item x="34"/>
        <item x="23"/>
        <item x="37"/>
        <item x="36"/>
        <item x="30"/>
        <item x="35"/>
        <item x="32"/>
        <item x="51"/>
        <item x="16"/>
        <item x="26"/>
        <item x="28"/>
        <item x="15"/>
        <item x="10"/>
        <item x="17"/>
        <item x="40"/>
        <item x="21"/>
        <item x="39"/>
        <item x="53"/>
        <item x="42"/>
        <item x="12"/>
        <item x="25"/>
        <item x="55"/>
        <item x="56"/>
        <item x="54"/>
        <item x="0"/>
        <item x="14"/>
        <item x="1"/>
        <item t="default"/>
      </items>
    </pivotField>
    <pivotField showAll="0">
      <items count="54">
        <item x="9"/>
        <item x="11"/>
        <item x="2"/>
        <item x="4"/>
        <item x="5"/>
        <item x="6"/>
        <item x="48"/>
        <item x="45"/>
        <item x="8"/>
        <item x="3"/>
        <item x="7"/>
        <item x="47"/>
        <item x="13"/>
        <item x="30"/>
        <item x="36"/>
        <item x="42"/>
        <item x="23"/>
        <item x="46"/>
        <item x="28"/>
        <item x="33"/>
        <item x="26"/>
        <item x="43"/>
        <item x="18"/>
        <item x="41"/>
        <item x="39"/>
        <item x="44"/>
        <item x="19"/>
        <item x="21"/>
        <item x="29"/>
        <item x="31"/>
        <item x="17"/>
        <item x="22"/>
        <item x="34"/>
        <item x="25"/>
        <item x="27"/>
        <item x="15"/>
        <item x="38"/>
        <item x="14"/>
        <item x="10"/>
        <item x="32"/>
        <item x="16"/>
        <item x="35"/>
        <item x="20"/>
        <item x="37"/>
        <item x="40"/>
        <item x="49"/>
        <item x="12"/>
        <item x="24"/>
        <item x="51"/>
        <item x="52"/>
        <item x="50"/>
        <item x="0"/>
        <item x="1"/>
        <item t="default"/>
      </items>
    </pivotField>
    <pivotField showAll="0">
      <items count="56">
        <item x="11"/>
        <item x="9"/>
        <item x="2"/>
        <item x="4"/>
        <item x="5"/>
        <item x="50"/>
        <item x="6"/>
        <item x="3"/>
        <item x="47"/>
        <item x="49"/>
        <item x="7"/>
        <item x="8"/>
        <item x="10"/>
        <item x="22"/>
        <item x="31"/>
        <item x="44"/>
        <item x="18"/>
        <item x="41"/>
        <item x="24"/>
        <item x="48"/>
        <item x="27"/>
        <item x="45"/>
        <item x="36"/>
        <item x="43"/>
        <item x="33"/>
        <item x="46"/>
        <item x="19"/>
        <item x="29"/>
        <item x="21"/>
        <item x="35"/>
        <item x="30"/>
        <item x="32"/>
        <item x="37"/>
        <item x="34"/>
        <item x="26"/>
        <item x="15"/>
        <item x="28"/>
        <item x="40"/>
        <item x="23"/>
        <item x="14"/>
        <item x="17"/>
        <item x="38"/>
        <item x="16"/>
        <item x="13"/>
        <item x="20"/>
        <item x="39"/>
        <item x="42"/>
        <item x="51"/>
        <item x="12"/>
        <item x="25"/>
        <item x="53"/>
        <item x="54"/>
        <item x="52"/>
        <item x="0"/>
        <item x="1"/>
        <item t="default"/>
      </items>
    </pivotField>
    <pivotField showAll="0">
      <items count="54">
        <item x="9"/>
        <item x="11"/>
        <item x="2"/>
        <item x="4"/>
        <item x="5"/>
        <item x="6"/>
        <item x="44"/>
        <item x="48"/>
        <item x="3"/>
        <item x="7"/>
        <item x="46"/>
        <item x="8"/>
        <item x="33"/>
        <item x="38"/>
        <item x="41"/>
        <item x="10"/>
        <item x="18"/>
        <item x="23"/>
        <item x="26"/>
        <item x="42"/>
        <item x="45"/>
        <item x="40"/>
        <item x="43"/>
        <item x="17"/>
        <item x="19"/>
        <item x="21"/>
        <item x="31"/>
        <item x="22"/>
        <item x="47"/>
        <item x="28"/>
        <item x="32"/>
        <item x="29"/>
        <item x="34"/>
        <item x="25"/>
        <item x="30"/>
        <item x="15"/>
        <item x="27"/>
        <item x="14"/>
        <item x="35"/>
        <item x="13"/>
        <item x="37"/>
        <item x="20"/>
        <item x="16"/>
        <item x="36"/>
        <item x="49"/>
        <item x="39"/>
        <item x="12"/>
        <item x="51"/>
        <item x="24"/>
        <item x="52"/>
        <item x="50"/>
        <item x="0"/>
        <item x="1"/>
        <item t="default"/>
      </items>
    </pivotField>
    <pivotField showAll="0">
      <items count="55">
        <item x="11"/>
        <item x="9"/>
        <item x="2"/>
        <item x="4"/>
        <item x="5"/>
        <item x="6"/>
        <item x="46"/>
        <item x="49"/>
        <item x="3"/>
        <item x="7"/>
        <item x="10"/>
        <item x="8"/>
        <item x="29"/>
        <item x="37"/>
        <item x="43"/>
        <item x="40"/>
        <item x="47"/>
        <item x="23"/>
        <item x="26"/>
        <item x="18"/>
        <item x="44"/>
        <item x="34"/>
        <item x="42"/>
        <item x="45"/>
        <item x="19"/>
        <item x="21"/>
        <item x="17"/>
        <item x="22"/>
        <item x="32"/>
        <item x="33"/>
        <item x="31"/>
        <item x="35"/>
        <item x="48"/>
        <item x="28"/>
        <item x="30"/>
        <item x="25"/>
        <item x="15"/>
        <item x="27"/>
        <item x="14"/>
        <item x="36"/>
        <item x="39"/>
        <item x="16"/>
        <item x="13"/>
        <item x="20"/>
        <item x="38"/>
        <item x="41"/>
        <item x="50"/>
        <item x="12"/>
        <item x="24"/>
        <item x="52"/>
        <item x="53"/>
        <item x="51"/>
        <item x="0"/>
        <item x="1"/>
        <item t="default"/>
      </items>
    </pivotField>
    <pivotField showAll="0"/>
    <pivotField showAll="0"/>
    <pivotField showAll="0"/>
    <pivotField showAll="0"/>
    <pivotField showAll="0">
      <items count="61">
        <item x="9"/>
        <item x="11"/>
        <item x="2"/>
        <item x="4"/>
        <item x="5"/>
        <item x="6"/>
        <item x="50"/>
        <item x="55"/>
        <item x="3"/>
        <item x="7"/>
        <item x="8"/>
        <item x="52"/>
        <item x="14"/>
        <item x="53"/>
        <item x="31"/>
        <item x="47"/>
        <item x="41"/>
        <item x="24"/>
        <item x="44"/>
        <item x="51"/>
        <item x="37"/>
        <item x="19"/>
        <item x="27"/>
        <item x="48"/>
        <item x="54"/>
        <item x="36"/>
        <item x="35"/>
        <item x="40"/>
        <item x="46"/>
        <item x="29"/>
        <item x="49"/>
        <item x="20"/>
        <item x="22"/>
        <item x="34"/>
        <item x="33"/>
        <item x="10"/>
        <item x="18"/>
        <item x="23"/>
        <item x="30"/>
        <item x="38"/>
        <item x="32"/>
        <item x="26"/>
        <item x="16"/>
        <item x="28"/>
        <item x="13"/>
        <item x="15"/>
        <item x="39"/>
        <item x="43"/>
        <item x="17"/>
        <item x="21"/>
        <item x="42"/>
        <item x="45"/>
        <item x="56"/>
        <item x="12"/>
        <item x="25"/>
        <item x="58"/>
        <item x="59"/>
        <item x="57"/>
        <item x="0"/>
        <item x="1"/>
        <item t="default"/>
      </items>
    </pivotField>
    <pivotField showAll="0">
      <items count="64">
        <item x="9"/>
        <item x="11"/>
        <item x="2"/>
        <item x="4"/>
        <item x="5"/>
        <item x="6"/>
        <item x="52"/>
        <item x="58"/>
        <item x="3"/>
        <item x="7"/>
        <item x="8"/>
        <item x="54"/>
        <item x="17"/>
        <item x="56"/>
        <item x="55"/>
        <item x="32"/>
        <item x="34"/>
        <item x="49"/>
        <item x="42"/>
        <item x="18"/>
        <item x="53"/>
        <item x="26"/>
        <item x="29"/>
        <item x="50"/>
        <item x="43"/>
        <item x="31"/>
        <item x="46"/>
        <item x="48"/>
        <item x="21"/>
        <item x="57"/>
        <item x="22"/>
        <item x="51"/>
        <item x="20"/>
        <item x="24"/>
        <item x="39"/>
        <item x="38"/>
        <item x="37"/>
        <item x="14"/>
        <item x="33"/>
        <item x="25"/>
        <item x="36"/>
        <item x="35"/>
        <item x="10"/>
        <item x="16"/>
        <item x="28"/>
        <item x="30"/>
        <item x="15"/>
        <item x="40"/>
        <item x="45"/>
        <item x="13"/>
        <item x="19"/>
        <item x="41"/>
        <item x="23"/>
        <item x="44"/>
        <item x="47"/>
        <item x="59"/>
        <item x="12"/>
        <item x="27"/>
        <item x="61"/>
        <item x="62"/>
        <item x="60"/>
        <item x="0"/>
        <item x="1"/>
        <item t="default"/>
      </items>
    </pivotField>
    <pivotField showAll="0">
      <items count="65">
        <item x="9"/>
        <item x="11"/>
        <item x="2"/>
        <item x="4"/>
        <item x="5"/>
        <item x="59"/>
        <item x="53"/>
        <item x="3"/>
        <item x="6"/>
        <item x="8"/>
        <item x="57"/>
        <item x="58"/>
        <item x="55"/>
        <item x="7"/>
        <item x="56"/>
        <item x="32"/>
        <item x="34"/>
        <item x="39"/>
        <item x="29"/>
        <item x="50"/>
        <item x="51"/>
        <item x="54"/>
        <item x="25"/>
        <item x="28"/>
        <item x="17"/>
        <item x="47"/>
        <item x="38"/>
        <item x="19"/>
        <item x="31"/>
        <item x="37"/>
        <item x="49"/>
        <item x="20"/>
        <item x="52"/>
        <item x="24"/>
        <item x="22"/>
        <item x="41"/>
        <item x="14"/>
        <item x="44"/>
        <item x="40"/>
        <item x="33"/>
        <item x="36"/>
        <item x="35"/>
        <item x="16"/>
        <item x="23"/>
        <item x="27"/>
        <item x="30"/>
        <item x="13"/>
        <item x="42"/>
        <item x="15"/>
        <item x="10"/>
        <item x="46"/>
        <item x="18"/>
        <item x="43"/>
        <item x="21"/>
        <item x="45"/>
        <item x="48"/>
        <item x="60"/>
        <item x="12"/>
        <item x="26"/>
        <item x="62"/>
        <item x="63"/>
        <item x="61"/>
        <item x="0"/>
        <item x="1"/>
        <item t="default"/>
      </items>
    </pivotField>
    <pivotField showAll="0"/>
    <pivotField showAll="0"/>
    <pivotField showAll="0"/>
    <pivotField axis="axisRow" showAll="0">
      <items count="7">
        <item x="1"/>
        <item x="3"/>
        <item h="1" x="4"/>
        <item x="2"/>
        <item h="1" x="5"/>
        <item h="1" x="0"/>
        <item t="default"/>
      </items>
    </pivotField>
  </pivotFields>
  <rowFields count="1">
    <field x="67"/>
  </rowFields>
  <rowItems count="4">
    <i>
      <x/>
    </i>
    <i>
      <x v="1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20254" fld="40" baseField="67" baseItem="0"/>
    <dataField name="Sum of 20255" fld="41" baseField="67" baseItem="0"/>
    <dataField name="Sum of 20256" fld="42" baseField="67" baseItem="0"/>
    <dataField name="Sum of 20257" fld="43" baseField="67" baseItem="0"/>
    <dataField name="Sum of 20258" fld="44" baseField="67" baseItem="0"/>
    <dataField name="Sum of 20259" fld="45" baseField="67" baseItem="0"/>
    <dataField name="Sum of 202510" fld="46" baseField="67" baseItem="0"/>
    <dataField name="Sum of 202511" fld="47" baseField="67" baseItem="0"/>
    <dataField name="Sum of 202512" fld="48" baseField="67" baseItem="0"/>
    <dataField name="Sum of 2026" fld="49" baseField="67" baseItem="0"/>
    <dataField name="Sum of 20262" fld="50" baseField="67" baseItem="0"/>
    <dataField name="Sum of 20263" fld="51" baseField="67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EA2E8-DEE0-4CFA-A9A7-AA7F7424ACB5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:M5" firstHeaderRow="0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7">
        <item x="8"/>
        <item x="10"/>
        <item x="2"/>
        <item x="4"/>
        <item x="5"/>
        <item x="37"/>
        <item x="41"/>
        <item x="3"/>
        <item x="6"/>
        <item x="40"/>
        <item x="39"/>
        <item x="12"/>
        <item x="35"/>
        <item x="22"/>
        <item x="38"/>
        <item x="27"/>
        <item x="34"/>
        <item x="16"/>
        <item x="36"/>
        <item x="23"/>
        <item x="24"/>
        <item x="18"/>
        <item x="28"/>
        <item x="14"/>
        <item x="30"/>
        <item x="26"/>
        <item x="19"/>
        <item x="13"/>
        <item x="9"/>
        <item x="7"/>
        <item x="25"/>
        <item x="29"/>
        <item x="15"/>
        <item x="20"/>
        <item x="32"/>
        <item x="31"/>
        <item x="17"/>
        <item x="33"/>
        <item x="42"/>
        <item x="11"/>
        <item x="21"/>
        <item x="44"/>
        <item x="43"/>
        <item x="45"/>
        <item x="0"/>
        <item x="1"/>
        <item t="default"/>
      </items>
    </pivotField>
    <pivotField dataField="1" showAll="0">
      <items count="53">
        <item x="8"/>
        <item x="10"/>
        <item x="2"/>
        <item x="4"/>
        <item x="5"/>
        <item x="47"/>
        <item x="43"/>
        <item x="7"/>
        <item x="3"/>
        <item x="6"/>
        <item x="32"/>
        <item x="46"/>
        <item x="45"/>
        <item x="12"/>
        <item x="41"/>
        <item x="27"/>
        <item x="40"/>
        <item x="44"/>
        <item x="16"/>
        <item x="24"/>
        <item x="25"/>
        <item x="20"/>
        <item x="30"/>
        <item x="17"/>
        <item x="39"/>
        <item x="42"/>
        <item x="26"/>
        <item x="22"/>
        <item x="35"/>
        <item x="19"/>
        <item x="28"/>
        <item x="21"/>
        <item x="29"/>
        <item x="33"/>
        <item x="14"/>
        <item x="9"/>
        <item x="13"/>
        <item x="37"/>
        <item x="31"/>
        <item x="15"/>
        <item x="34"/>
        <item x="36"/>
        <item x="18"/>
        <item x="38"/>
        <item x="48"/>
        <item x="11"/>
        <item x="23"/>
        <item x="49"/>
        <item x="50"/>
        <item x="51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58">
        <item x="8"/>
        <item x="10"/>
        <item x="2"/>
        <item x="4"/>
        <item x="5"/>
        <item x="52"/>
        <item x="47"/>
        <item x="3"/>
        <item x="6"/>
        <item x="51"/>
        <item x="49"/>
        <item x="7"/>
        <item x="50"/>
        <item x="30"/>
        <item x="44"/>
        <item x="22"/>
        <item x="38"/>
        <item x="48"/>
        <item x="28"/>
        <item x="25"/>
        <item x="45"/>
        <item x="33"/>
        <item x="43"/>
        <item x="18"/>
        <item x="41"/>
        <item x="29"/>
        <item x="46"/>
        <item x="9"/>
        <item x="20"/>
        <item x="35"/>
        <item x="17"/>
        <item x="15"/>
        <item x="21"/>
        <item x="34"/>
        <item x="27"/>
        <item x="12"/>
        <item x="31"/>
        <item x="14"/>
        <item x="32"/>
        <item x="24"/>
        <item x="26"/>
        <item x="13"/>
        <item x="40"/>
        <item x="16"/>
        <item x="36"/>
        <item x="37"/>
        <item x="19"/>
        <item x="39"/>
        <item x="53"/>
        <item x="42"/>
        <item x="11"/>
        <item x="23"/>
        <item x="55"/>
        <item x="56"/>
        <item x="54"/>
        <item x="0"/>
        <item x="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8">
        <item x="9"/>
        <item x="11"/>
        <item x="2"/>
        <item x="4"/>
        <item x="5"/>
        <item x="6"/>
        <item x="47"/>
        <item x="3"/>
        <item x="52"/>
        <item x="8"/>
        <item x="7"/>
        <item x="33"/>
        <item x="49"/>
        <item x="13"/>
        <item x="50"/>
        <item x="41"/>
        <item x="31"/>
        <item x="44"/>
        <item x="48"/>
        <item x="24"/>
        <item x="29"/>
        <item x="19"/>
        <item x="27"/>
        <item x="45"/>
        <item x="38"/>
        <item x="18"/>
        <item x="43"/>
        <item x="46"/>
        <item x="20"/>
        <item x="22"/>
        <item x="34"/>
        <item x="23"/>
        <item x="37"/>
        <item x="36"/>
        <item x="30"/>
        <item x="35"/>
        <item x="32"/>
        <item x="51"/>
        <item x="16"/>
        <item x="26"/>
        <item x="28"/>
        <item x="15"/>
        <item x="10"/>
        <item x="17"/>
        <item x="40"/>
        <item x="21"/>
        <item x="39"/>
        <item x="53"/>
        <item x="42"/>
        <item x="12"/>
        <item x="25"/>
        <item x="55"/>
        <item x="56"/>
        <item x="54"/>
        <item x="0"/>
        <item x="14"/>
        <item x="1"/>
        <item t="default"/>
      </items>
    </pivotField>
    <pivotField showAll="0">
      <items count="54">
        <item x="9"/>
        <item x="11"/>
        <item x="2"/>
        <item x="4"/>
        <item x="5"/>
        <item x="6"/>
        <item x="48"/>
        <item x="45"/>
        <item x="8"/>
        <item x="3"/>
        <item x="7"/>
        <item x="47"/>
        <item x="13"/>
        <item x="30"/>
        <item x="36"/>
        <item x="42"/>
        <item x="23"/>
        <item x="46"/>
        <item x="28"/>
        <item x="33"/>
        <item x="26"/>
        <item x="43"/>
        <item x="18"/>
        <item x="41"/>
        <item x="39"/>
        <item x="44"/>
        <item x="19"/>
        <item x="21"/>
        <item x="29"/>
        <item x="31"/>
        <item x="17"/>
        <item x="22"/>
        <item x="34"/>
        <item x="25"/>
        <item x="27"/>
        <item x="15"/>
        <item x="38"/>
        <item x="14"/>
        <item x="10"/>
        <item x="32"/>
        <item x="16"/>
        <item x="35"/>
        <item x="20"/>
        <item x="37"/>
        <item x="40"/>
        <item x="49"/>
        <item x="12"/>
        <item x="24"/>
        <item x="51"/>
        <item x="52"/>
        <item x="50"/>
        <item x="0"/>
        <item x="1"/>
        <item t="default"/>
      </items>
    </pivotField>
    <pivotField showAll="0">
      <items count="56">
        <item x="11"/>
        <item x="9"/>
        <item x="2"/>
        <item x="4"/>
        <item x="5"/>
        <item x="50"/>
        <item x="6"/>
        <item x="3"/>
        <item x="47"/>
        <item x="49"/>
        <item x="7"/>
        <item x="8"/>
        <item x="10"/>
        <item x="22"/>
        <item x="31"/>
        <item x="44"/>
        <item x="18"/>
        <item x="41"/>
        <item x="24"/>
        <item x="48"/>
        <item x="27"/>
        <item x="45"/>
        <item x="36"/>
        <item x="43"/>
        <item x="33"/>
        <item x="46"/>
        <item x="19"/>
        <item x="29"/>
        <item x="21"/>
        <item x="35"/>
        <item x="30"/>
        <item x="32"/>
        <item x="37"/>
        <item x="34"/>
        <item x="26"/>
        <item x="15"/>
        <item x="28"/>
        <item x="40"/>
        <item x="23"/>
        <item x="14"/>
        <item x="17"/>
        <item x="38"/>
        <item x="16"/>
        <item x="13"/>
        <item x="20"/>
        <item x="39"/>
        <item x="42"/>
        <item x="51"/>
        <item x="12"/>
        <item x="25"/>
        <item x="53"/>
        <item x="54"/>
        <item x="52"/>
        <item x="0"/>
        <item x="1"/>
        <item t="default"/>
      </items>
    </pivotField>
    <pivotField showAll="0">
      <items count="54">
        <item x="9"/>
        <item x="11"/>
        <item x="2"/>
        <item x="4"/>
        <item x="5"/>
        <item x="6"/>
        <item x="44"/>
        <item x="48"/>
        <item x="3"/>
        <item x="7"/>
        <item x="46"/>
        <item x="8"/>
        <item x="33"/>
        <item x="38"/>
        <item x="41"/>
        <item x="10"/>
        <item x="18"/>
        <item x="23"/>
        <item x="26"/>
        <item x="42"/>
        <item x="45"/>
        <item x="40"/>
        <item x="43"/>
        <item x="17"/>
        <item x="19"/>
        <item x="21"/>
        <item x="31"/>
        <item x="22"/>
        <item x="47"/>
        <item x="28"/>
        <item x="32"/>
        <item x="29"/>
        <item x="34"/>
        <item x="25"/>
        <item x="30"/>
        <item x="15"/>
        <item x="27"/>
        <item x="14"/>
        <item x="35"/>
        <item x="13"/>
        <item x="37"/>
        <item x="20"/>
        <item x="16"/>
        <item x="36"/>
        <item x="49"/>
        <item x="39"/>
        <item x="12"/>
        <item x="51"/>
        <item x="24"/>
        <item x="52"/>
        <item x="50"/>
        <item x="0"/>
        <item x="1"/>
        <item t="default"/>
      </items>
    </pivotField>
    <pivotField showAll="0">
      <items count="55">
        <item x="11"/>
        <item x="9"/>
        <item x="2"/>
        <item x="4"/>
        <item x="5"/>
        <item x="6"/>
        <item x="46"/>
        <item x="49"/>
        <item x="3"/>
        <item x="7"/>
        <item x="10"/>
        <item x="8"/>
        <item x="29"/>
        <item x="37"/>
        <item x="43"/>
        <item x="40"/>
        <item x="47"/>
        <item x="23"/>
        <item x="26"/>
        <item x="18"/>
        <item x="44"/>
        <item x="34"/>
        <item x="42"/>
        <item x="45"/>
        <item x="19"/>
        <item x="21"/>
        <item x="17"/>
        <item x="22"/>
        <item x="32"/>
        <item x="33"/>
        <item x="31"/>
        <item x="35"/>
        <item x="48"/>
        <item x="28"/>
        <item x="30"/>
        <item x="25"/>
        <item x="15"/>
        <item x="27"/>
        <item x="14"/>
        <item x="36"/>
        <item x="39"/>
        <item x="16"/>
        <item x="13"/>
        <item x="20"/>
        <item x="38"/>
        <item x="41"/>
        <item x="50"/>
        <item x="12"/>
        <item x="24"/>
        <item x="52"/>
        <item x="53"/>
        <item x="51"/>
        <item x="0"/>
        <item x="1"/>
        <item t="default"/>
      </items>
    </pivotField>
    <pivotField showAll="0"/>
    <pivotField showAll="0"/>
    <pivotField showAll="0"/>
    <pivotField showAll="0"/>
    <pivotField showAll="0">
      <items count="61">
        <item x="9"/>
        <item x="11"/>
        <item x="2"/>
        <item x="4"/>
        <item x="5"/>
        <item x="6"/>
        <item x="50"/>
        <item x="55"/>
        <item x="3"/>
        <item x="7"/>
        <item x="8"/>
        <item x="52"/>
        <item x="14"/>
        <item x="53"/>
        <item x="31"/>
        <item x="47"/>
        <item x="41"/>
        <item x="24"/>
        <item x="44"/>
        <item x="51"/>
        <item x="37"/>
        <item x="19"/>
        <item x="27"/>
        <item x="48"/>
        <item x="54"/>
        <item x="36"/>
        <item x="35"/>
        <item x="40"/>
        <item x="46"/>
        <item x="29"/>
        <item x="49"/>
        <item x="20"/>
        <item x="22"/>
        <item x="34"/>
        <item x="33"/>
        <item x="10"/>
        <item x="18"/>
        <item x="23"/>
        <item x="30"/>
        <item x="38"/>
        <item x="32"/>
        <item x="26"/>
        <item x="16"/>
        <item x="28"/>
        <item x="13"/>
        <item x="15"/>
        <item x="39"/>
        <item x="43"/>
        <item x="17"/>
        <item x="21"/>
        <item x="42"/>
        <item x="45"/>
        <item x="56"/>
        <item x="12"/>
        <item x="25"/>
        <item x="58"/>
        <item x="59"/>
        <item x="57"/>
        <item x="0"/>
        <item x="1"/>
        <item t="default"/>
      </items>
    </pivotField>
    <pivotField showAll="0">
      <items count="64">
        <item x="9"/>
        <item x="11"/>
        <item x="2"/>
        <item x="4"/>
        <item x="5"/>
        <item x="6"/>
        <item x="52"/>
        <item x="58"/>
        <item x="3"/>
        <item x="7"/>
        <item x="8"/>
        <item x="54"/>
        <item x="17"/>
        <item x="56"/>
        <item x="55"/>
        <item x="32"/>
        <item x="34"/>
        <item x="49"/>
        <item x="42"/>
        <item x="18"/>
        <item x="53"/>
        <item x="26"/>
        <item x="29"/>
        <item x="50"/>
        <item x="43"/>
        <item x="31"/>
        <item x="46"/>
        <item x="48"/>
        <item x="21"/>
        <item x="57"/>
        <item x="22"/>
        <item x="51"/>
        <item x="20"/>
        <item x="24"/>
        <item x="39"/>
        <item x="38"/>
        <item x="37"/>
        <item x="14"/>
        <item x="33"/>
        <item x="25"/>
        <item x="36"/>
        <item x="35"/>
        <item x="10"/>
        <item x="16"/>
        <item x="28"/>
        <item x="30"/>
        <item x="15"/>
        <item x="40"/>
        <item x="45"/>
        <item x="13"/>
        <item x="19"/>
        <item x="41"/>
        <item x="23"/>
        <item x="44"/>
        <item x="47"/>
        <item x="59"/>
        <item x="12"/>
        <item x="27"/>
        <item x="61"/>
        <item x="62"/>
        <item x="60"/>
        <item x="0"/>
        <item x="1"/>
        <item t="default"/>
      </items>
    </pivotField>
    <pivotField showAll="0">
      <items count="65">
        <item x="9"/>
        <item x="11"/>
        <item x="2"/>
        <item x="4"/>
        <item x="5"/>
        <item x="59"/>
        <item x="53"/>
        <item x="3"/>
        <item x="6"/>
        <item x="8"/>
        <item x="57"/>
        <item x="58"/>
        <item x="55"/>
        <item x="7"/>
        <item x="56"/>
        <item x="32"/>
        <item x="34"/>
        <item x="39"/>
        <item x="29"/>
        <item x="50"/>
        <item x="51"/>
        <item x="54"/>
        <item x="25"/>
        <item x="28"/>
        <item x="17"/>
        <item x="47"/>
        <item x="38"/>
        <item x="19"/>
        <item x="31"/>
        <item x="37"/>
        <item x="49"/>
        <item x="20"/>
        <item x="52"/>
        <item x="24"/>
        <item x="22"/>
        <item x="41"/>
        <item x="14"/>
        <item x="44"/>
        <item x="40"/>
        <item x="33"/>
        <item x="36"/>
        <item x="35"/>
        <item x="16"/>
        <item x="23"/>
        <item x="27"/>
        <item x="30"/>
        <item x="13"/>
        <item x="42"/>
        <item x="15"/>
        <item x="10"/>
        <item x="46"/>
        <item x="18"/>
        <item x="43"/>
        <item x="21"/>
        <item x="45"/>
        <item x="48"/>
        <item x="60"/>
        <item x="12"/>
        <item x="26"/>
        <item x="62"/>
        <item x="63"/>
        <item x="61"/>
        <item x="0"/>
        <item x="1"/>
        <item t="default"/>
      </items>
    </pivotField>
    <pivotField showAll="0"/>
    <pivotField showAll="0"/>
    <pivotField showAll="0"/>
    <pivotField axis="axisRow" showAll="0">
      <items count="7">
        <item x="1"/>
        <item x="3"/>
        <item h="1" x="4"/>
        <item x="2"/>
        <item h="1" x="5"/>
        <item h="1" x="0"/>
        <item t="default"/>
      </items>
    </pivotField>
  </pivotFields>
  <rowFields count="1">
    <field x="67"/>
  </rowFields>
  <rowItems count="4">
    <i>
      <x/>
    </i>
    <i>
      <x v="1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20244" fld="28" baseField="67" baseItem="0"/>
    <dataField name="Sum of 20245" fld="29" baseField="67" baseItem="0"/>
    <dataField name="Sum of 20246" fld="30" baseField="67" baseItem="0"/>
    <dataField name="Sum of 20247" fld="31" baseField="67" baseItem="0"/>
    <dataField name="Sum of 20248" fld="32" baseField="67" baseItem="0"/>
    <dataField name="Sum of 20249" fld="33" baseField="67" baseItem="0"/>
    <dataField name="Sum of 202410" fld="34" baseField="67" baseItem="0"/>
    <dataField name="Sum of 202411" fld="35" baseField="67" baseItem="0"/>
    <dataField name="Sum of 202412" fld="36" baseField="67" baseItem="0"/>
    <dataField name="Sum of 2025" fld="37" baseField="67" baseItem="0"/>
    <dataField name="Sum of 20252" fld="38" baseField="67" baseItem="0"/>
    <dataField name="Sum of 20253" fld="39" baseField="67" baseItem="0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A5A2-4088-4722-847E-425BBD13FFCF}">
  <dimension ref="A1:BQ113"/>
  <sheetViews>
    <sheetView showGridLines="0" topLeftCell="A2" zoomScaleNormal="100" workbookViewId="0">
      <pane xSplit="40" ySplit="7" topLeftCell="AU9" activePane="bottomRight" state="frozen"/>
      <selection activeCell="A2" sqref="A2"/>
      <selection pane="topRight" activeCell="AO2" sqref="AO2"/>
      <selection pane="bottomLeft" activeCell="A9" sqref="A9"/>
      <selection pane="bottomRight" activeCell="AX8" sqref="AX8"/>
    </sheetView>
  </sheetViews>
  <sheetFormatPr defaultColWidth="9.109375" defaultRowHeight="13.2" outlineLevelCol="2" x14ac:dyDescent="0.3"/>
  <cols>
    <col min="1" max="1" width="55.109375" style="1" bestFit="1" customWidth="1"/>
    <col min="2" max="4" width="10.77734375" style="1" hidden="1" customWidth="1" outlineLevel="2"/>
    <col min="5" max="5" width="10.77734375" style="1" hidden="1" customWidth="1" outlineLevel="1" collapsed="1"/>
    <col min="6" max="16" width="10.77734375" style="1" hidden="1" customWidth="1" outlineLevel="1"/>
    <col min="17" max="17" width="10.77734375" style="2" hidden="1" customWidth="1" collapsed="1"/>
    <col min="18" max="25" width="10.77734375" style="1" hidden="1" customWidth="1"/>
    <col min="26" max="40" width="11.33203125" style="1" hidden="1" customWidth="1"/>
    <col min="41" max="42" width="11.33203125" style="1" bestFit="1" customWidth="1"/>
    <col min="43" max="47" width="11.33203125" style="1" customWidth="1"/>
    <col min="48" max="48" width="12.33203125" style="1" bestFit="1" customWidth="1"/>
    <col min="49" max="57" width="12.33203125" style="1" customWidth="1"/>
    <col min="58" max="59" width="12.33203125" style="1" bestFit="1" customWidth="1"/>
    <col min="60" max="61" width="12.33203125" style="1" hidden="1" customWidth="1"/>
    <col min="62" max="64" width="12.33203125" style="1" bestFit="1" customWidth="1"/>
    <col min="65" max="66" width="12.33203125" style="1" hidden="1" customWidth="1"/>
    <col min="67" max="67" width="11.33203125" style="1" hidden="1" customWidth="1"/>
    <col min="68" max="68" width="15.5546875" style="1" customWidth="1"/>
    <col min="69" max="69" width="12" style="1" bestFit="1" customWidth="1"/>
    <col min="70" max="16384" width="9.109375" style="1"/>
  </cols>
  <sheetData>
    <row r="1" spans="1:69" x14ac:dyDescent="0.3">
      <c r="A1" s="109" t="s">
        <v>0</v>
      </c>
      <c r="B1" s="109"/>
      <c r="C1" s="109"/>
      <c r="D1" s="109"/>
      <c r="E1" s="109"/>
      <c r="F1" s="109"/>
    </row>
    <row r="2" spans="1:69" x14ac:dyDescent="0.3">
      <c r="A2" s="110"/>
      <c r="B2" s="110"/>
      <c r="C2" s="110"/>
      <c r="D2" s="110"/>
      <c r="E2" s="110"/>
      <c r="F2" s="110"/>
    </row>
    <row r="3" spans="1:69" x14ac:dyDescent="0.3">
      <c r="A3" s="109" t="s">
        <v>103</v>
      </c>
      <c r="B3" s="109"/>
      <c r="C3" s="109"/>
      <c r="D3" s="109"/>
      <c r="E3" s="109"/>
      <c r="F3" s="109"/>
    </row>
    <row r="4" spans="1:69" x14ac:dyDescent="0.3">
      <c r="A4" s="22"/>
    </row>
    <row r="6" spans="1:69" x14ac:dyDescent="0.3">
      <c r="A6" s="48" t="s">
        <v>134</v>
      </c>
      <c r="Q6" s="49">
        <f t="shared" ref="Q6:AB6" si="0">Q19/SUM($Q$19:$AB$19)</f>
        <v>7.4776031077742597E-2</v>
      </c>
      <c r="R6" s="49">
        <f t="shared" si="0"/>
        <v>8.3490441408419158E-2</v>
      </c>
      <c r="S6" s="49">
        <f t="shared" si="0"/>
        <v>7.5336584893487532E-2</v>
      </c>
      <c r="T6" s="49">
        <f t="shared" si="0"/>
        <v>7.8054179507372062E-2</v>
      </c>
      <c r="U6" s="49">
        <f t="shared" si="0"/>
        <v>8.1204745018620961E-2</v>
      </c>
      <c r="V6" s="49">
        <f t="shared" si="0"/>
        <v>8.043781307073844E-2</v>
      </c>
      <c r="W6" s="49">
        <f t="shared" si="0"/>
        <v>8.4894320438973228E-2</v>
      </c>
      <c r="X6" s="49">
        <f t="shared" si="0"/>
        <v>8.5387830071558243E-2</v>
      </c>
      <c r="Y6" s="49">
        <f t="shared" si="0"/>
        <v>8.9879765103902262E-2</v>
      </c>
      <c r="Z6" s="49">
        <f t="shared" si="0"/>
        <v>8.9421226723463101E-2</v>
      </c>
      <c r="AA6" s="49">
        <f t="shared" si="0"/>
        <v>8.5011914876182162E-2</v>
      </c>
      <c r="AB6" s="49">
        <f t="shared" si="0"/>
        <v>9.2105147809540183E-2</v>
      </c>
      <c r="AC6" s="49">
        <f>AC19/SUM($AC$19:$AN$19)</f>
        <v>7.4676378514786673E-2</v>
      </c>
      <c r="AD6" s="49">
        <f t="shared" ref="AD6:AN6" si="1">AD19/SUM($AC$19:$AN$19)</f>
        <v>8.1064474280017493E-2</v>
      </c>
      <c r="AE6" s="49">
        <f t="shared" si="1"/>
        <v>7.9698560572563415E-2</v>
      </c>
      <c r="AF6" s="49">
        <f t="shared" si="1"/>
        <v>8.2174781261050309E-2</v>
      </c>
      <c r="AG6" s="49">
        <f t="shared" si="1"/>
        <v>8.0414803791887812E-2</v>
      </c>
      <c r="AH6" s="49">
        <f t="shared" si="1"/>
        <v>8.193624890114716E-2</v>
      </c>
      <c r="AI6" s="49">
        <f t="shared" si="1"/>
        <v>8.4780068761601213E-2</v>
      </c>
      <c r="AJ6" s="49">
        <f t="shared" si="1"/>
        <v>8.6797608335074869E-2</v>
      </c>
      <c r="AK6" s="49">
        <f t="shared" si="1"/>
        <v>8.9111249442649462E-2</v>
      </c>
      <c r="AL6" s="49">
        <f t="shared" si="1"/>
        <v>9.0038508971344994E-2</v>
      </c>
      <c r="AM6" s="49">
        <f t="shared" si="1"/>
        <v>8.1343845716214086E-2</v>
      </c>
      <c r="AN6" s="49">
        <f t="shared" si="1"/>
        <v>8.7963471451662584E-2</v>
      </c>
      <c r="AO6" s="49">
        <f>AO19/SUM($AO$19:$AZ$19)</f>
        <v>7.5923012782413174E-2</v>
      </c>
      <c r="AP6" s="49">
        <f t="shared" ref="AP6:AZ6" si="2">AP19/SUM($AO$19:$AZ$19)</f>
        <v>7.7480219817075618E-2</v>
      </c>
      <c r="AQ6" s="49">
        <f t="shared" si="2"/>
        <v>7.817732112235487E-2</v>
      </c>
      <c r="AR6" s="49">
        <f t="shared" si="2"/>
        <v>7.3821907711324589E-2</v>
      </c>
      <c r="AS6" s="49">
        <f t="shared" si="2"/>
        <v>8.0140304795066938E-2</v>
      </c>
      <c r="AT6" s="49">
        <f t="shared" si="2"/>
        <v>8.6795626005178872E-2</v>
      </c>
      <c r="AU6" s="49">
        <f t="shared" si="2"/>
        <v>9.326400478042858E-2</v>
      </c>
      <c r="AV6" s="49">
        <f t="shared" si="2"/>
        <v>8.8356974052803586E-2</v>
      </c>
      <c r="AW6" s="49">
        <f t="shared" si="2"/>
        <v>9.1329655771817425E-2</v>
      </c>
      <c r="AX6" s="49">
        <f t="shared" si="2"/>
        <v>8.1007621059717996E-2</v>
      </c>
      <c r="AY6" s="49">
        <f t="shared" si="2"/>
        <v>8.0842998031027929E-2</v>
      </c>
      <c r="AZ6" s="49">
        <f t="shared" si="2"/>
        <v>9.2860354070790616E-2</v>
      </c>
      <c r="BA6" s="49"/>
      <c r="BB6" s="49"/>
      <c r="BC6" s="49"/>
      <c r="BD6" s="49"/>
      <c r="BE6" s="49"/>
    </row>
    <row r="7" spans="1:69" x14ac:dyDescent="0.3">
      <c r="A7" s="4" t="s">
        <v>173</v>
      </c>
      <c r="B7" s="5">
        <v>2022</v>
      </c>
      <c r="C7" s="5">
        <v>2022</v>
      </c>
      <c r="D7" s="5">
        <v>2022</v>
      </c>
      <c r="E7" s="5">
        <v>2022</v>
      </c>
      <c r="F7" s="5">
        <v>2022</v>
      </c>
      <c r="G7" s="5">
        <v>2022</v>
      </c>
      <c r="H7" s="5">
        <v>2022</v>
      </c>
      <c r="I7" s="5">
        <v>2022</v>
      </c>
      <c r="J7" s="5">
        <v>2022</v>
      </c>
      <c r="K7" s="5">
        <v>2022</v>
      </c>
      <c r="L7" s="5">
        <v>2022</v>
      </c>
      <c r="M7" s="5">
        <v>2022</v>
      </c>
      <c r="N7" s="5">
        <v>2023</v>
      </c>
      <c r="O7" s="5">
        <v>2023</v>
      </c>
      <c r="P7" s="5">
        <v>2023</v>
      </c>
      <c r="Q7" s="6">
        <v>2023</v>
      </c>
      <c r="R7" s="6">
        <v>2023</v>
      </c>
      <c r="S7" s="6">
        <v>2023</v>
      </c>
      <c r="T7" s="6">
        <v>2023</v>
      </c>
      <c r="U7" s="6">
        <v>2023</v>
      </c>
      <c r="V7" s="6">
        <v>2023</v>
      </c>
      <c r="W7" s="6">
        <v>2023</v>
      </c>
      <c r="X7" s="6">
        <v>2023</v>
      </c>
      <c r="Y7" s="6">
        <v>2023</v>
      </c>
      <c r="Z7" s="6">
        <v>2024</v>
      </c>
      <c r="AA7" s="6">
        <v>2024</v>
      </c>
      <c r="AB7" s="6">
        <v>2024</v>
      </c>
      <c r="AC7" s="6">
        <v>2024</v>
      </c>
      <c r="AD7" s="6">
        <v>2024</v>
      </c>
      <c r="AE7" s="6">
        <v>2024</v>
      </c>
      <c r="AF7" s="6">
        <v>2024</v>
      </c>
      <c r="AG7" s="6">
        <v>2024</v>
      </c>
      <c r="AH7" s="6">
        <v>2024</v>
      </c>
      <c r="AI7" s="6">
        <v>2024</v>
      </c>
      <c r="AJ7" s="6">
        <v>2024</v>
      </c>
      <c r="AK7" s="6">
        <v>2024</v>
      </c>
      <c r="AL7" s="6">
        <v>2025</v>
      </c>
      <c r="AM7" s="6">
        <v>2025</v>
      </c>
      <c r="AN7" s="6">
        <v>2025</v>
      </c>
      <c r="AO7" s="6">
        <v>2025</v>
      </c>
      <c r="AP7" s="6">
        <v>2025</v>
      </c>
      <c r="AQ7" s="6">
        <v>2025</v>
      </c>
      <c r="AR7" s="6">
        <v>2025</v>
      </c>
      <c r="AS7" s="6">
        <v>2025</v>
      </c>
      <c r="AT7" s="6">
        <v>2025</v>
      </c>
      <c r="AU7" s="6">
        <v>2025</v>
      </c>
      <c r="AV7" s="6">
        <v>2025</v>
      </c>
      <c r="AW7" s="6">
        <v>2025</v>
      </c>
      <c r="AX7" s="6">
        <v>2026</v>
      </c>
      <c r="AY7" s="6">
        <v>2026</v>
      </c>
      <c r="AZ7" s="6">
        <v>2026</v>
      </c>
      <c r="BA7" s="6">
        <v>2026</v>
      </c>
      <c r="BB7" s="6">
        <v>2026</v>
      </c>
      <c r="BC7" s="6">
        <v>2026</v>
      </c>
      <c r="BD7" s="6">
        <v>2026</v>
      </c>
      <c r="BE7" s="6">
        <v>2026</v>
      </c>
      <c r="BF7" s="34">
        <v>2026</v>
      </c>
      <c r="BG7" s="34">
        <v>2025</v>
      </c>
      <c r="BH7" s="34">
        <v>2024</v>
      </c>
      <c r="BI7" s="34">
        <v>2023</v>
      </c>
      <c r="BJ7" s="28" t="s">
        <v>127</v>
      </c>
      <c r="BK7" s="28" t="s">
        <v>112</v>
      </c>
      <c r="BL7" s="28" t="s">
        <v>104</v>
      </c>
      <c r="BM7" s="28" t="s">
        <v>100</v>
      </c>
      <c r="BN7" s="29" t="s">
        <v>101</v>
      </c>
      <c r="BO7" s="29" t="s">
        <v>102</v>
      </c>
      <c r="BP7" s="1" t="s">
        <v>172</v>
      </c>
    </row>
    <row r="8" spans="1:69" x14ac:dyDescent="0.3">
      <c r="A8" s="4" t="s">
        <v>1</v>
      </c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2</v>
      </c>
      <c r="O8" s="5" t="s">
        <v>15</v>
      </c>
      <c r="P8" s="5" t="s">
        <v>4</v>
      </c>
      <c r="Q8" s="6" t="s">
        <v>5</v>
      </c>
      <c r="R8" s="6" t="s">
        <v>6</v>
      </c>
      <c r="S8" s="6" t="s">
        <v>7</v>
      </c>
      <c r="T8" s="6" t="s">
        <v>8</v>
      </c>
      <c r="U8" s="6" t="s">
        <v>9</v>
      </c>
      <c r="V8" s="6" t="s">
        <v>10</v>
      </c>
      <c r="W8" s="6" t="s">
        <v>11</v>
      </c>
      <c r="X8" s="6" t="s">
        <v>12</v>
      </c>
      <c r="Y8" s="6" t="s">
        <v>13</v>
      </c>
      <c r="Z8" s="6" t="s">
        <v>2</v>
      </c>
      <c r="AA8" s="6" t="s">
        <v>15</v>
      </c>
      <c r="AB8" s="6" t="s">
        <v>4</v>
      </c>
      <c r="AC8" s="6" t="s">
        <v>5</v>
      </c>
      <c r="AD8" s="6" t="s">
        <v>6</v>
      </c>
      <c r="AE8" s="6" t="s">
        <v>7</v>
      </c>
      <c r="AF8" s="6" t="s">
        <v>8</v>
      </c>
      <c r="AG8" s="6" t="s">
        <v>9</v>
      </c>
      <c r="AH8" s="6" t="s">
        <v>10</v>
      </c>
      <c r="AI8" s="6" t="s">
        <v>11</v>
      </c>
      <c r="AJ8" s="6" t="s">
        <v>12</v>
      </c>
      <c r="AK8" s="6" t="s">
        <v>13</v>
      </c>
      <c r="AL8" s="6" t="s">
        <v>2</v>
      </c>
      <c r="AM8" s="6" t="s">
        <v>15</v>
      </c>
      <c r="AN8" s="6" t="s">
        <v>4</v>
      </c>
      <c r="AO8" s="6" t="s">
        <v>5</v>
      </c>
      <c r="AP8" s="6" t="s">
        <v>6</v>
      </c>
      <c r="AQ8" s="6" t="s">
        <v>7</v>
      </c>
      <c r="AR8" s="6" t="s">
        <v>114</v>
      </c>
      <c r="AS8" s="6" t="s">
        <v>115</v>
      </c>
      <c r="AT8" s="6" t="s">
        <v>117</v>
      </c>
      <c r="AU8" s="6" t="s">
        <v>118</v>
      </c>
      <c r="AV8" s="6" t="s">
        <v>119</v>
      </c>
      <c r="AW8" s="6" t="s">
        <v>120</v>
      </c>
      <c r="AX8" s="6" t="s">
        <v>122</v>
      </c>
      <c r="AY8" s="6" t="s">
        <v>124</v>
      </c>
      <c r="AZ8" s="6" t="s">
        <v>125</v>
      </c>
      <c r="BA8" s="6" t="s">
        <v>126</v>
      </c>
      <c r="BB8" s="6" t="s">
        <v>129</v>
      </c>
      <c r="BC8" s="6" t="s">
        <v>130</v>
      </c>
      <c r="BD8" s="6" t="s">
        <v>131</v>
      </c>
      <c r="BE8" s="6" t="s">
        <v>132</v>
      </c>
      <c r="BF8" s="34" t="s">
        <v>14</v>
      </c>
      <c r="BG8" s="34" t="s">
        <v>14</v>
      </c>
      <c r="BH8" s="34" t="s">
        <v>14</v>
      </c>
      <c r="BI8" s="34" t="s">
        <v>14</v>
      </c>
      <c r="BJ8" s="28" t="s">
        <v>14</v>
      </c>
      <c r="BK8" s="28" t="s">
        <v>14</v>
      </c>
      <c r="BL8" s="28" t="s">
        <v>14</v>
      </c>
      <c r="BM8" s="28" t="s">
        <v>14</v>
      </c>
      <c r="BN8" s="29" t="s">
        <v>14</v>
      </c>
      <c r="BO8" s="29" t="s">
        <v>14</v>
      </c>
    </row>
    <row r="9" spans="1:69" ht="14.4" x14ac:dyDescent="0.3">
      <c r="A9" s="1" t="s">
        <v>16</v>
      </c>
      <c r="BF9" s="35"/>
      <c r="BG9" s="35"/>
      <c r="BH9" s="35"/>
      <c r="BI9" s="35"/>
      <c r="BJ9" s="30"/>
      <c r="BK9" s="30"/>
      <c r="BL9" s="30"/>
      <c r="BM9" s="30"/>
      <c r="BN9" s="30"/>
      <c r="BO9" s="30"/>
      <c r="BP9" s="7"/>
      <c r="BQ9" s="7"/>
    </row>
    <row r="10" spans="1:69" ht="14.4" x14ac:dyDescent="0.3">
      <c r="A10" s="1" t="s">
        <v>17</v>
      </c>
      <c r="BF10" s="35"/>
      <c r="BG10" s="35"/>
      <c r="BH10" s="35"/>
      <c r="BI10" s="35"/>
      <c r="BJ10" s="30"/>
      <c r="BK10" s="30"/>
      <c r="BL10" s="30"/>
      <c r="BM10" s="30"/>
      <c r="BN10" s="30"/>
      <c r="BO10" s="30"/>
      <c r="BP10" s="7"/>
      <c r="BQ10" s="7"/>
    </row>
    <row r="11" spans="1:69" ht="14.4" x14ac:dyDescent="0.3">
      <c r="A11" s="1" t="s">
        <v>18</v>
      </c>
      <c r="BF11" s="35"/>
      <c r="BG11" s="35"/>
      <c r="BH11" s="35"/>
      <c r="BI11" s="35"/>
      <c r="BJ11" s="30"/>
      <c r="BK11" s="30"/>
      <c r="BL11" s="30"/>
      <c r="BM11" s="30"/>
      <c r="BN11" s="30"/>
      <c r="BO11" s="30"/>
      <c r="BP11" s="7"/>
      <c r="BQ11" s="7"/>
    </row>
    <row r="12" spans="1:69" ht="14.4" x14ac:dyDescent="0.3">
      <c r="A12" s="1" t="s">
        <v>19</v>
      </c>
      <c r="B12" s="8">
        <v>-212427.24</v>
      </c>
      <c r="C12" s="8">
        <v>-209910.73</v>
      </c>
      <c r="D12" s="8">
        <v>-237563.67</v>
      </c>
      <c r="E12" s="8">
        <v>-246794.29</v>
      </c>
      <c r="F12" s="8">
        <v>-252583.71</v>
      </c>
      <c r="G12" s="8">
        <v>-253028.07</v>
      </c>
      <c r="H12" s="8">
        <v>-267357.32</v>
      </c>
      <c r="I12" s="8">
        <v>-269824.48</v>
      </c>
      <c r="J12" s="8">
        <v>-264391.88</v>
      </c>
      <c r="K12" s="8">
        <v>-272661.31</v>
      </c>
      <c r="L12" s="8">
        <v>-269216.39</v>
      </c>
      <c r="M12" s="8">
        <v>-276889.25</v>
      </c>
      <c r="N12" s="8">
        <v>-277258.01</v>
      </c>
      <c r="O12" s="8">
        <v>-248239.08</v>
      </c>
      <c r="P12" s="8">
        <v>-269843.96000000002</v>
      </c>
      <c r="Q12" s="8">
        <v>-271187.49</v>
      </c>
      <c r="R12" s="8">
        <v>-284521.21999999997</v>
      </c>
      <c r="S12" s="8">
        <v>-281341.13</v>
      </c>
      <c r="T12" s="8">
        <v>-294459.8</v>
      </c>
      <c r="U12" s="8">
        <v>-304733.90000000002</v>
      </c>
      <c r="V12" s="8">
        <v>-297410.76</v>
      </c>
      <c r="W12" s="8">
        <v>-305591.18</v>
      </c>
      <c r="X12" s="8">
        <v>-300657.98</v>
      </c>
      <c r="Y12" s="8">
        <v>-310981.73</v>
      </c>
      <c r="Z12" s="8">
        <v>-307101.27</v>
      </c>
      <c r="AA12" s="8">
        <v>-290242.86</v>
      </c>
      <c r="AB12" s="8">
        <v>-313453.27</v>
      </c>
      <c r="AC12" s="8">
        <v>-320579.06</v>
      </c>
      <c r="AD12" s="8">
        <v>-329099.65000000002</v>
      </c>
      <c r="AE12" s="8">
        <v>-322160.90000000002</v>
      </c>
      <c r="AF12" s="8">
        <v>-341088.88</v>
      </c>
      <c r="AG12" s="8">
        <v>-338087.72</v>
      </c>
      <c r="AH12" s="8">
        <v>-337908.82</v>
      </c>
      <c r="AI12" s="8">
        <v>-354813.3</v>
      </c>
      <c r="AJ12" s="8">
        <v>-338698.12</v>
      </c>
      <c r="AK12" s="8">
        <v>-341338.41</v>
      </c>
      <c r="AL12" s="8">
        <v>-343853.07</v>
      </c>
      <c r="AM12" s="8">
        <v>-310960.83</v>
      </c>
      <c r="AN12" s="8">
        <v>-327130.77</v>
      </c>
      <c r="AO12" s="8">
        <v>-333743.46999999997</v>
      </c>
      <c r="AP12" s="8">
        <v>-347838.97</v>
      </c>
      <c r="AQ12" s="8">
        <v>-341992.87</v>
      </c>
      <c r="AR12" s="8">
        <v>-330219.64</v>
      </c>
      <c r="AS12" s="8">
        <v>-355833.33</v>
      </c>
      <c r="AT12" s="8">
        <v>-390061.92</v>
      </c>
      <c r="AU12" s="8">
        <v>-415418.59</v>
      </c>
      <c r="AV12" s="8">
        <v>-390237.42</v>
      </c>
      <c r="AW12" s="8">
        <v>-393057.44</v>
      </c>
      <c r="AX12" s="8">
        <v>-338776.69</v>
      </c>
      <c r="AY12" s="8">
        <v>-372164.38</v>
      </c>
      <c r="AZ12" s="8">
        <v>-427667.19</v>
      </c>
      <c r="BA12" s="8">
        <v>-383050.36</v>
      </c>
      <c r="BB12" s="8">
        <v>-389957.34</v>
      </c>
      <c r="BC12" s="8">
        <v>-400237.74</v>
      </c>
      <c r="BD12" s="8">
        <v>-388638.18</v>
      </c>
      <c r="BE12" s="8">
        <v>-395645.38</v>
      </c>
      <c r="BF12" s="36">
        <f t="shared" ref="BF12:BF19" si="3">SUM(AX12:BE12)</f>
        <v>-3096137.2600000002</v>
      </c>
      <c r="BG12" s="36">
        <f t="shared" ref="BG12:BG19" si="4">SUM(AL12:AW12)</f>
        <v>-4280348.32</v>
      </c>
      <c r="BH12" s="36">
        <f t="shared" ref="BH12:BH19" si="5">SUM(Z12:AK12)</f>
        <v>-3934572.2599999993</v>
      </c>
      <c r="BI12" s="36">
        <f>SUM(N12:Y12)</f>
        <v>-3446226.2400000007</v>
      </c>
      <c r="BJ12" s="31">
        <f t="shared" ref="BJ12:BJ19" si="6">SUM(BA12:BE12)</f>
        <v>-1957529</v>
      </c>
      <c r="BK12" s="31">
        <f t="shared" ref="BK12:BK19" si="7">SUM(AO12:AZ12)</f>
        <v>-4437011.91</v>
      </c>
      <c r="BL12" s="31">
        <f t="shared" ref="BL12:BL19" si="8">SUM(AC12:AN12)</f>
        <v>-4005719.5300000003</v>
      </c>
      <c r="BM12" s="31">
        <f>SUM(Q12:AB12)</f>
        <v>-3561682.59</v>
      </c>
      <c r="BN12" s="31">
        <f>SUM(E12:P12)</f>
        <v>-3168087.75</v>
      </c>
      <c r="BO12" s="31">
        <f>SUM(B12:D12)</f>
        <v>-659901.64</v>
      </c>
      <c r="BP12" s="7"/>
      <c r="BQ12" s="7"/>
    </row>
    <row r="13" spans="1:69" ht="14.4" x14ac:dyDescent="0.3">
      <c r="A13" s="1" t="s">
        <v>20</v>
      </c>
      <c r="B13" s="8">
        <v>-1250</v>
      </c>
      <c r="C13" s="8">
        <v>-1250</v>
      </c>
      <c r="D13" s="8">
        <v>-1250</v>
      </c>
      <c r="E13" s="8">
        <v>-1250</v>
      </c>
      <c r="F13" s="8">
        <v>-1250</v>
      </c>
      <c r="G13" s="8">
        <v>-1250</v>
      </c>
      <c r="H13" s="8">
        <v>-1250</v>
      </c>
      <c r="I13" s="8">
        <v>-1250</v>
      </c>
      <c r="J13" s="8">
        <v>-1479.45</v>
      </c>
      <c r="K13" s="8">
        <v>-1528.77</v>
      </c>
      <c r="L13" s="8">
        <v>-1479.45</v>
      </c>
      <c r="M13" s="8">
        <v>-1528.77</v>
      </c>
      <c r="N13" s="8">
        <v>-1528.77</v>
      </c>
      <c r="O13" s="8">
        <v>-1380.82</v>
      </c>
      <c r="P13" s="8">
        <v>-1528.77</v>
      </c>
      <c r="Q13" s="8">
        <v>-1479.45</v>
      </c>
      <c r="R13" s="8">
        <v>-1528.77</v>
      </c>
      <c r="S13" s="8">
        <v>-1479.45</v>
      </c>
      <c r="T13" s="8">
        <v>-1528.77</v>
      </c>
      <c r="U13" s="8">
        <v>-1528.76</v>
      </c>
      <c r="V13" s="1">
        <v>-1557.38</v>
      </c>
      <c r="W13" s="1">
        <v>-1609.29</v>
      </c>
      <c r="X13" s="1">
        <v>-1557.38</v>
      </c>
      <c r="Y13" s="1">
        <v>-1609.29</v>
      </c>
      <c r="Z13" s="1">
        <v>-1609.29</v>
      </c>
      <c r="AA13" s="1">
        <v>-4476.7700000000004</v>
      </c>
      <c r="AB13" s="1">
        <v>-4785.5200000000004</v>
      </c>
      <c r="AC13" s="8">
        <v>-7085.7</v>
      </c>
      <c r="AD13" s="8">
        <v>-7321.88</v>
      </c>
      <c r="AE13" s="8">
        <v>-7085.7</v>
      </c>
      <c r="AF13" s="8">
        <v>-10464.35</v>
      </c>
      <c r="AG13" s="8">
        <v>-10464.34</v>
      </c>
      <c r="AH13" s="8">
        <v>-10254.35</v>
      </c>
      <c r="AI13" s="8">
        <v>-11406.74</v>
      </c>
      <c r="AJ13" s="8">
        <v>-31778.52</v>
      </c>
      <c r="AK13" s="8">
        <v>-15228.66</v>
      </c>
      <c r="AL13" s="8">
        <v>-16727.73</v>
      </c>
      <c r="AM13" s="8">
        <v>-16354.26</v>
      </c>
      <c r="AN13" s="8">
        <v>-16736.43</v>
      </c>
      <c r="AO13" s="8">
        <v>-13113.21</v>
      </c>
      <c r="AP13" s="8">
        <v>-13550.32</v>
      </c>
      <c r="AQ13" s="8">
        <v>-15900.52</v>
      </c>
      <c r="AR13" s="8">
        <v>-15094.91</v>
      </c>
      <c r="AS13" s="8">
        <v>-18067.490000000002</v>
      </c>
      <c r="AT13" s="8">
        <v>-21385.45</v>
      </c>
      <c r="AU13" s="8">
        <v>-20809.38</v>
      </c>
      <c r="AV13" s="8">
        <v>-19398.37</v>
      </c>
      <c r="AW13" s="8">
        <v>-18855.91</v>
      </c>
      <c r="AX13" s="8">
        <v>-19280.63</v>
      </c>
      <c r="AY13" s="8">
        <v>-20464.36</v>
      </c>
      <c r="AZ13" s="8">
        <v>-20177.099999999999</v>
      </c>
      <c r="BA13" s="8">
        <v>-21734.36</v>
      </c>
      <c r="BB13" s="8">
        <v>-21027.360000000001</v>
      </c>
      <c r="BC13" s="8">
        <v>-25988.5</v>
      </c>
      <c r="BD13" s="8">
        <v>-24017.98</v>
      </c>
      <c r="BE13" s="8">
        <v>-21081.99</v>
      </c>
      <c r="BF13" s="36">
        <f t="shared" si="3"/>
        <v>-173772.28</v>
      </c>
      <c r="BG13" s="36">
        <f t="shared" si="4"/>
        <v>-205993.98</v>
      </c>
      <c r="BH13" s="36">
        <f t="shared" si="5"/>
        <v>-121961.82</v>
      </c>
      <c r="BI13" s="35">
        <f>SUM(N13:Y13)</f>
        <v>-18316.900000000005</v>
      </c>
      <c r="BJ13" s="31">
        <f t="shared" si="6"/>
        <v>-113850.19</v>
      </c>
      <c r="BK13" s="31">
        <f t="shared" si="7"/>
        <v>-216097.65000000005</v>
      </c>
      <c r="BL13" s="31">
        <f t="shared" si="8"/>
        <v>-160908.66</v>
      </c>
      <c r="BM13" s="31">
        <f>SUM(Q13:AB13)</f>
        <v>-24750.120000000006</v>
      </c>
      <c r="BN13" s="31">
        <f>SUM(E13:P13)</f>
        <v>-16704.8</v>
      </c>
      <c r="BO13" s="31">
        <f>SUM(B13:D13)</f>
        <v>-3750</v>
      </c>
      <c r="BP13" s="7"/>
      <c r="BQ13" s="7"/>
    </row>
    <row r="14" spans="1:69" ht="14.4" x14ac:dyDescent="0.3">
      <c r="A14" s="1" t="s">
        <v>21</v>
      </c>
      <c r="B14" s="8">
        <v>-43980.67</v>
      </c>
      <c r="C14" s="8">
        <v>-39813.99</v>
      </c>
      <c r="D14" s="8">
        <v>-43817.99</v>
      </c>
      <c r="E14" s="8">
        <v>-39399.769999999997</v>
      </c>
      <c r="F14" s="8">
        <v>-45229.8</v>
      </c>
      <c r="G14" s="8">
        <v>-48084.1</v>
      </c>
      <c r="H14" s="8">
        <v>-45965.17</v>
      </c>
      <c r="I14" s="8">
        <v>-47040.56</v>
      </c>
      <c r="J14" s="8">
        <v>-45730.17</v>
      </c>
      <c r="K14" s="8">
        <v>-50671.38</v>
      </c>
      <c r="L14" s="8">
        <v>-49243.87</v>
      </c>
      <c r="M14" s="8">
        <v>-47696.38</v>
      </c>
      <c r="N14" s="8">
        <v>-49253.49</v>
      </c>
      <c r="O14" s="8">
        <v>-48112.1</v>
      </c>
      <c r="P14" s="8">
        <v>-53848.02</v>
      </c>
      <c r="Q14" s="8">
        <v>-62216.51</v>
      </c>
      <c r="R14" s="8">
        <v>-64716.2</v>
      </c>
      <c r="S14" s="8">
        <v>-69475.77</v>
      </c>
      <c r="T14" s="8">
        <v>-66092.95</v>
      </c>
      <c r="U14" s="8">
        <v>-71573.98</v>
      </c>
      <c r="V14" s="8">
        <v>-69478.960000000006</v>
      </c>
      <c r="W14" s="8">
        <v>-71975.539999999994</v>
      </c>
      <c r="X14" s="8">
        <v>-69653.77</v>
      </c>
      <c r="Y14" s="8">
        <v>-75151.78</v>
      </c>
      <c r="Z14" s="8">
        <v>-79783.88</v>
      </c>
      <c r="AA14" s="8">
        <v>-74789.33</v>
      </c>
      <c r="AB14" s="8">
        <v>-82348.7</v>
      </c>
      <c r="AC14" s="8">
        <v>-76659.13</v>
      </c>
      <c r="AD14" s="8">
        <v>-78034.899999999994</v>
      </c>
      <c r="AE14" s="8">
        <v>-84957.82</v>
      </c>
      <c r="AF14" s="8">
        <v>-86055.81</v>
      </c>
      <c r="AG14" s="8">
        <v>-86204.82</v>
      </c>
      <c r="AH14" s="8">
        <v>-83423.990000000005</v>
      </c>
      <c r="AI14" s="8">
        <v>-94015.56</v>
      </c>
      <c r="AJ14" s="8">
        <v>-94782.04</v>
      </c>
      <c r="AK14" s="8">
        <v>-109973.56</v>
      </c>
      <c r="AL14" s="8">
        <v>-121700.37</v>
      </c>
      <c r="AM14" s="8">
        <v>-108473.19</v>
      </c>
      <c r="AN14" s="8">
        <v>-121322.7</v>
      </c>
      <c r="AO14" s="8">
        <v>-113455.67</v>
      </c>
      <c r="AP14" s="8">
        <v>-112015.39</v>
      </c>
      <c r="AQ14" s="8">
        <v>-125642.1</v>
      </c>
      <c r="AR14" s="8">
        <v>-111480.63</v>
      </c>
      <c r="AS14" s="8">
        <v>-118759.92</v>
      </c>
      <c r="AT14" s="8">
        <v>-136045.4</v>
      </c>
      <c r="AU14" s="8">
        <v>-126846.93</v>
      </c>
      <c r="AV14" s="8">
        <v>-122927.72</v>
      </c>
      <c r="AW14" s="8">
        <v>-131613.18</v>
      </c>
      <c r="AX14" s="8">
        <v>-127494.89</v>
      </c>
      <c r="AY14" s="8">
        <v>-95533.78</v>
      </c>
      <c r="AZ14" s="8">
        <v>-121218.16</v>
      </c>
      <c r="BA14" s="8">
        <v>-116152.23</v>
      </c>
      <c r="BB14" s="8">
        <v>-130611.19</v>
      </c>
      <c r="BC14" s="8">
        <v>-156785.28</v>
      </c>
      <c r="BD14" s="8">
        <v>-120107.82</v>
      </c>
      <c r="BE14" s="8">
        <v>-119115.56</v>
      </c>
      <c r="BF14" s="36">
        <f t="shared" si="3"/>
        <v>-987018.91000000015</v>
      </c>
      <c r="BG14" s="36">
        <f t="shared" si="4"/>
        <v>-1450283.1999999997</v>
      </c>
      <c r="BH14" s="36">
        <f t="shared" si="5"/>
        <v>-1031029.5400000003</v>
      </c>
      <c r="BI14" s="36">
        <f>SUM(N14:Y14)</f>
        <v>-771549.07000000007</v>
      </c>
      <c r="BJ14" s="31">
        <f t="shared" si="6"/>
        <v>-642772.07999999996</v>
      </c>
      <c r="BK14" s="31">
        <f t="shared" si="7"/>
        <v>-1443033.7699999998</v>
      </c>
      <c r="BL14" s="31">
        <f t="shared" si="8"/>
        <v>-1145603.8900000001</v>
      </c>
      <c r="BM14" s="31">
        <f>SUM(Q14:AB14)</f>
        <v>-857257.36999999988</v>
      </c>
      <c r="BN14" s="31">
        <f>SUM(E14:P14)</f>
        <v>-570274.80999999994</v>
      </c>
      <c r="BO14" s="31">
        <f>SUM(B14:D14)</f>
        <v>-127612.65</v>
      </c>
      <c r="BP14" s="7"/>
      <c r="BQ14" s="7"/>
    </row>
    <row r="15" spans="1:69" ht="14.4" x14ac:dyDescent="0.3">
      <c r="A15" s="1" t="s">
        <v>22</v>
      </c>
      <c r="B15" s="8">
        <v>-1178.08</v>
      </c>
      <c r="C15" s="8">
        <v>-1178.08</v>
      </c>
      <c r="D15" s="8">
        <v>-1305.48</v>
      </c>
      <c r="E15" s="8">
        <v>-1301.3699999999999</v>
      </c>
      <c r="F15" s="8">
        <v>-1714.98</v>
      </c>
      <c r="G15" s="8">
        <v>-139.44999999999999</v>
      </c>
      <c r="H15" s="8">
        <v>-1228.9000000000001</v>
      </c>
      <c r="I15" s="8">
        <v>-1228.9000000000001</v>
      </c>
      <c r="J15" s="8">
        <v>-1072.28</v>
      </c>
      <c r="K15" s="8">
        <v>-1103.9000000000001</v>
      </c>
      <c r="L15" s="8">
        <v>-1070.58</v>
      </c>
      <c r="M15" s="8">
        <v>-1106.27</v>
      </c>
      <c r="N15" s="8">
        <v>-5678.2</v>
      </c>
      <c r="O15" s="8">
        <v>-3706.16</v>
      </c>
      <c r="P15" s="8">
        <v>-4103.29</v>
      </c>
      <c r="Q15" s="8">
        <v>-6196.56</v>
      </c>
      <c r="R15" s="8">
        <v>-3878.29</v>
      </c>
      <c r="S15" s="8">
        <v>-3937.55</v>
      </c>
      <c r="T15" s="8">
        <v>-7008.05</v>
      </c>
      <c r="U15" s="8">
        <v>-6232.23</v>
      </c>
      <c r="V15" s="8">
        <v>-12845.95</v>
      </c>
      <c r="W15" s="8">
        <v>-23390.47</v>
      </c>
      <c r="X15" s="8">
        <v>-31187.83</v>
      </c>
      <c r="Y15" s="8">
        <v>-32227.38</v>
      </c>
      <c r="Z15" s="8">
        <v>-32795.629999999997</v>
      </c>
      <c r="AA15" s="8">
        <v>-31066.25</v>
      </c>
      <c r="AB15" s="8">
        <v>-33463.22</v>
      </c>
      <c r="AC15" s="8">
        <v>-38385.980000000003</v>
      </c>
      <c r="AD15" s="8">
        <v>-47118.62</v>
      </c>
      <c r="AE15" s="8">
        <v>-45556.51</v>
      </c>
      <c r="AF15" s="8">
        <v>-28681.02</v>
      </c>
      <c r="AG15" s="8">
        <v>-28887.87</v>
      </c>
      <c r="AH15" s="8">
        <v>-23817.74</v>
      </c>
      <c r="AI15" s="8">
        <v>-29959.89</v>
      </c>
      <c r="AJ15" s="8">
        <v>-32416.99</v>
      </c>
      <c r="AK15" s="8">
        <v>-35923.599999999999</v>
      </c>
      <c r="AL15" s="8">
        <v>-37234.410000000003</v>
      </c>
      <c r="AM15" s="8">
        <v>-33562.089999999997</v>
      </c>
      <c r="AN15" s="8">
        <v>-36781.879999999997</v>
      </c>
      <c r="AO15" s="8">
        <v>-38365.620000000003</v>
      </c>
      <c r="AP15" s="8">
        <v>-35539.07</v>
      </c>
      <c r="AQ15" s="8">
        <v>-34435.339999999997</v>
      </c>
      <c r="AR15" s="8">
        <v>-34085.519999999997</v>
      </c>
      <c r="AS15" s="8">
        <v>-33811.25</v>
      </c>
      <c r="AT15" s="8">
        <v>-34093.18</v>
      </c>
      <c r="AU15" s="8">
        <v>-38709.33</v>
      </c>
      <c r="AV15" s="8">
        <v>-41724.9</v>
      </c>
      <c r="AW15" s="8">
        <v>-54680.69</v>
      </c>
      <c r="AX15" s="8">
        <v>-45399.56</v>
      </c>
      <c r="AY15" s="8">
        <v>-43595.82</v>
      </c>
      <c r="AZ15" s="8">
        <v>-45222.080000000002</v>
      </c>
      <c r="BA15" s="8">
        <v>-41778.39</v>
      </c>
      <c r="BB15" s="8">
        <v>-44867.79</v>
      </c>
      <c r="BC15" s="8">
        <v>-56485.84</v>
      </c>
      <c r="BD15" s="8">
        <v>-54112.22</v>
      </c>
      <c r="BE15" s="8">
        <v>-57691.48</v>
      </c>
      <c r="BF15" s="36">
        <f t="shared" si="3"/>
        <v>-389153.18000000005</v>
      </c>
      <c r="BG15" s="36">
        <f t="shared" si="4"/>
        <v>-453023.28</v>
      </c>
      <c r="BH15" s="36">
        <f t="shared" si="5"/>
        <v>-408073.32</v>
      </c>
      <c r="BI15" s="36">
        <f>SUM(N15:Y15)</f>
        <v>-140391.96</v>
      </c>
      <c r="BJ15" s="31">
        <f t="shared" si="6"/>
        <v>-254935.72</v>
      </c>
      <c r="BK15" s="31">
        <f t="shared" si="7"/>
        <v>-479662.36000000004</v>
      </c>
      <c r="BL15" s="31">
        <f t="shared" si="8"/>
        <v>-418326.6</v>
      </c>
      <c r="BM15" s="31">
        <f>SUM(Q15:AB15)</f>
        <v>-224229.41</v>
      </c>
      <c r="BN15" s="31">
        <f>SUM(E15:P15)</f>
        <v>-23454.280000000002</v>
      </c>
      <c r="BO15" s="31">
        <f>SUM(B15:D15)</f>
        <v>-3661.64</v>
      </c>
      <c r="BP15" s="7"/>
      <c r="BQ15" s="7"/>
    </row>
    <row r="16" spans="1:69" ht="14.4" x14ac:dyDescent="0.3">
      <c r="A16" s="1" t="s">
        <v>23</v>
      </c>
      <c r="J16" s="8">
        <v>-805.48</v>
      </c>
      <c r="K16" s="8">
        <v>-832.33</v>
      </c>
      <c r="L16" s="8">
        <v>-805.48</v>
      </c>
      <c r="M16" s="8">
        <v>-832.33</v>
      </c>
      <c r="N16" s="8">
        <v>-832.33</v>
      </c>
      <c r="O16" s="8">
        <v>-751.78</v>
      </c>
      <c r="P16" s="8">
        <v>-832.33</v>
      </c>
      <c r="Q16" s="8">
        <v>-1952.13</v>
      </c>
      <c r="R16" s="8">
        <v>-2017.2</v>
      </c>
      <c r="S16" s="8">
        <v>-1952.13</v>
      </c>
      <c r="T16" s="8">
        <v>-2017.2</v>
      </c>
      <c r="U16" s="8">
        <v>-2017.19</v>
      </c>
      <c r="V16" s="8">
        <v>-1146.6500000000001</v>
      </c>
      <c r="W16" s="8">
        <v>-1184.8699999999999</v>
      </c>
      <c r="X16" s="8">
        <v>-1146.6500000000001</v>
      </c>
      <c r="Y16" s="8">
        <v>-3861.06</v>
      </c>
      <c r="Z16" s="8">
        <v>-3861.06</v>
      </c>
      <c r="AA16" s="8">
        <v>-3611.95</v>
      </c>
      <c r="AB16" s="8">
        <v>-3861.06</v>
      </c>
      <c r="AC16" s="8">
        <v>-5331.96</v>
      </c>
      <c r="AD16" s="8">
        <v>-5509.7</v>
      </c>
      <c r="AE16" s="8">
        <v>-10186.290000000001</v>
      </c>
      <c r="AF16" s="8">
        <v>-10525.84</v>
      </c>
      <c r="AG16" s="8">
        <v>-10525.84</v>
      </c>
      <c r="AH16" s="8">
        <v>-12487.66</v>
      </c>
      <c r="AI16" s="8">
        <v>-12903.92</v>
      </c>
      <c r="AJ16" s="8">
        <v>-14131.5</v>
      </c>
      <c r="AK16" s="8">
        <v>-11890.46</v>
      </c>
      <c r="AL16" s="8">
        <v>-11401.75</v>
      </c>
      <c r="AM16" s="8">
        <v>-10298.370000000001</v>
      </c>
      <c r="AN16" s="8">
        <v>-16709.97</v>
      </c>
      <c r="AO16" s="8">
        <v>-21543.98</v>
      </c>
      <c r="AP16" s="8">
        <v>-22262.09</v>
      </c>
      <c r="AQ16" s="8">
        <v>-23023.43</v>
      </c>
      <c r="AR16" s="8">
        <v>-23790.87</v>
      </c>
      <c r="AS16" s="8">
        <v>-23790.9</v>
      </c>
      <c r="AT16" s="8">
        <v>-20614.21</v>
      </c>
      <c r="AU16" s="8">
        <v>-29881.85</v>
      </c>
      <c r="AV16" s="8">
        <v>-33710.839999999997</v>
      </c>
      <c r="AW16" s="8">
        <v>-33536.49</v>
      </c>
      <c r="AX16" s="8">
        <v>-28631.22</v>
      </c>
      <c r="AY16" s="8">
        <v>-25860.44</v>
      </c>
      <c r="AZ16" s="8">
        <v>-28705.26</v>
      </c>
      <c r="BA16" s="8">
        <v>-27779.279999999999</v>
      </c>
      <c r="BB16" s="8">
        <v>-28705.24</v>
      </c>
      <c r="BC16" s="8">
        <v>-27823.66</v>
      </c>
      <c r="BD16" s="8">
        <v>-31086.74</v>
      </c>
      <c r="BE16" s="8">
        <v>-35749.89</v>
      </c>
      <c r="BF16" s="36">
        <f t="shared" si="3"/>
        <v>-234341.72999999998</v>
      </c>
      <c r="BG16" s="36">
        <f t="shared" si="4"/>
        <v>-270564.75</v>
      </c>
      <c r="BH16" s="36">
        <f t="shared" si="5"/>
        <v>-104827.23999999999</v>
      </c>
      <c r="BI16" s="36">
        <f>SUM(N16:Y16)</f>
        <v>-19711.52</v>
      </c>
      <c r="BJ16" s="31">
        <f t="shared" si="6"/>
        <v>-151144.81</v>
      </c>
      <c r="BK16" s="31">
        <f t="shared" si="7"/>
        <v>-315351.57999999996</v>
      </c>
      <c r="BL16" s="31">
        <f t="shared" si="8"/>
        <v>-131903.26</v>
      </c>
      <c r="BM16" s="31">
        <f>SUM(Q16:AB16)</f>
        <v>-28629.15</v>
      </c>
      <c r="BN16" s="31">
        <f>SUM(E16:P16)</f>
        <v>-5692.0599999999995</v>
      </c>
      <c r="BO16" s="31">
        <f>SUM(B16:D16)</f>
        <v>0</v>
      </c>
      <c r="BP16" s="7"/>
      <c r="BQ16" s="7"/>
    </row>
    <row r="17" spans="1:69" ht="14.4" x14ac:dyDescent="0.3">
      <c r="A17" s="47" t="s">
        <v>113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>
        <v>0</v>
      </c>
      <c r="AP17" s="8">
        <v>-439.92</v>
      </c>
      <c r="AQ17" s="8">
        <v>-425.73</v>
      </c>
      <c r="AR17" s="8">
        <v>-4807.7</v>
      </c>
      <c r="AS17" s="8">
        <v>-7136.47</v>
      </c>
      <c r="AT17" s="8">
        <v>-8762.2000000000007</v>
      </c>
      <c r="AU17" s="8">
        <v>-9054.2800000000007</v>
      </c>
      <c r="AV17" s="8">
        <v>-8762.2000000000007</v>
      </c>
      <c r="AW17" s="8">
        <v>-9054.2800000000007</v>
      </c>
      <c r="AX17" s="8">
        <v>-10461.61</v>
      </c>
      <c r="AY17" s="8">
        <v>-9449.2000000000007</v>
      </c>
      <c r="AZ17" s="8">
        <v>-10461.61</v>
      </c>
      <c r="BA17" s="8">
        <v>-11028.23</v>
      </c>
      <c r="BB17" s="8">
        <v>-11408.63</v>
      </c>
      <c r="BC17" s="8">
        <v>-11040.62</v>
      </c>
      <c r="BD17" s="8">
        <v>-11508.97</v>
      </c>
      <c r="BE17" s="8">
        <v>-11508.93</v>
      </c>
      <c r="BF17" s="36">
        <f t="shared" si="3"/>
        <v>-86867.799999999988</v>
      </c>
      <c r="BG17" s="36">
        <f t="shared" si="4"/>
        <v>-48442.78</v>
      </c>
      <c r="BH17" s="36">
        <f t="shared" si="5"/>
        <v>0</v>
      </c>
      <c r="BI17" s="36"/>
      <c r="BJ17" s="31">
        <f t="shared" si="6"/>
        <v>-56495.380000000005</v>
      </c>
      <c r="BK17" s="31">
        <f t="shared" si="7"/>
        <v>-78815.199999999997</v>
      </c>
      <c r="BL17" s="31">
        <f t="shared" si="8"/>
        <v>0</v>
      </c>
      <c r="BM17" s="31"/>
      <c r="BN17" s="31"/>
      <c r="BO17" s="31"/>
      <c r="BP17" s="7"/>
      <c r="BQ17" s="7"/>
    </row>
    <row r="18" spans="1:69" ht="14.4" x14ac:dyDescent="0.3">
      <c r="A18" s="1" t="s">
        <v>109</v>
      </c>
      <c r="D18" s="8">
        <v>96.29</v>
      </c>
      <c r="E18" s="8">
        <v>-0.01</v>
      </c>
      <c r="F18" s="8">
        <v>-10000.01</v>
      </c>
      <c r="G18" s="8">
        <v>-4596.2700000000004</v>
      </c>
      <c r="K18" s="8">
        <v>-6875</v>
      </c>
      <c r="Q18" s="8">
        <v>-12488.75</v>
      </c>
      <c r="R18" s="8">
        <v>-40291.67</v>
      </c>
      <c r="S18" s="10"/>
      <c r="T18" s="10"/>
      <c r="U18" s="10"/>
      <c r="V18" s="10"/>
      <c r="W18" s="8">
        <v>123.29</v>
      </c>
      <c r="X18" s="1">
        <v>-1770.83</v>
      </c>
      <c r="Y18" s="1">
        <v>-3500</v>
      </c>
      <c r="AC18" s="8">
        <v>7708.2</v>
      </c>
      <c r="AD18" s="8">
        <v>-10916.66</v>
      </c>
      <c r="AE18" s="8">
        <v>0</v>
      </c>
      <c r="AF18" s="8">
        <v>-7732.5</v>
      </c>
      <c r="AG18" s="8">
        <v>0</v>
      </c>
      <c r="AH18" s="8">
        <v>-15249.32</v>
      </c>
      <c r="AI18" s="8">
        <v>3188.78</v>
      </c>
      <c r="AJ18" s="8">
        <v>0</v>
      </c>
      <c r="AK18" s="8">
        <v>-11095</v>
      </c>
      <c r="AL18" s="8">
        <v>0</v>
      </c>
      <c r="AM18" s="8">
        <v>0</v>
      </c>
      <c r="AN18" s="8">
        <v>0</v>
      </c>
      <c r="AO18" s="8">
        <v>-14042.64</v>
      </c>
      <c r="AP18" s="8">
        <v>-13576.78</v>
      </c>
      <c r="AQ18" s="8">
        <v>-8708</v>
      </c>
      <c r="AR18" s="8">
        <v>0</v>
      </c>
      <c r="AS18" s="8">
        <v>-6542</v>
      </c>
      <c r="AT18" s="8">
        <v>188</v>
      </c>
      <c r="AU18" s="8">
        <v>-15571.5</v>
      </c>
      <c r="AV18" s="8">
        <v>-5000</v>
      </c>
      <c r="AW18" s="8">
        <v>-1882</v>
      </c>
      <c r="AX18" s="8">
        <v>0</v>
      </c>
      <c r="AY18" s="8">
        <v>-1818.18</v>
      </c>
      <c r="AZ18" s="8">
        <v>0</v>
      </c>
      <c r="BA18" s="8">
        <v>-16319.24</v>
      </c>
      <c r="BB18" s="8">
        <v>-22895.35</v>
      </c>
      <c r="BC18" s="8">
        <v>-951.22</v>
      </c>
      <c r="BD18" s="8">
        <v>0</v>
      </c>
      <c r="BE18" s="8">
        <v>0</v>
      </c>
      <c r="BF18" s="36">
        <f t="shared" si="3"/>
        <v>-41983.99</v>
      </c>
      <c r="BG18" s="36">
        <f t="shared" si="4"/>
        <v>-65134.92</v>
      </c>
      <c r="BH18" s="36">
        <f t="shared" si="5"/>
        <v>-34096.5</v>
      </c>
      <c r="BI18" s="35">
        <f>SUM(N18:Y18)</f>
        <v>-57927.96</v>
      </c>
      <c r="BJ18" s="31">
        <f t="shared" si="6"/>
        <v>-40165.81</v>
      </c>
      <c r="BK18" s="31">
        <f t="shared" si="7"/>
        <v>-66953.099999999991</v>
      </c>
      <c r="BL18" s="31">
        <f t="shared" si="8"/>
        <v>-34096.5</v>
      </c>
      <c r="BM18" s="31">
        <f>SUM(Q18:AB18)</f>
        <v>-57927.96</v>
      </c>
      <c r="BN18" s="31">
        <f>SUM(E18:P18)</f>
        <v>-21471.29</v>
      </c>
      <c r="BO18" s="31">
        <f>SUM(B18:D18)</f>
        <v>96.29</v>
      </c>
      <c r="BP18" s="7"/>
      <c r="BQ18" s="7"/>
    </row>
    <row r="19" spans="1:69" s="4" customFormat="1" ht="14.4" x14ac:dyDescent="0.3">
      <c r="A19" s="4" t="s">
        <v>24</v>
      </c>
      <c r="B19" s="12">
        <v>-258835.99</v>
      </c>
      <c r="C19" s="12">
        <v>-252152.8</v>
      </c>
      <c r="D19" s="12">
        <v>-283840.84999999998</v>
      </c>
      <c r="E19" s="12">
        <v>-288745.44</v>
      </c>
      <c r="F19" s="12">
        <v>-310778.5</v>
      </c>
      <c r="G19" s="12">
        <v>-307097.89</v>
      </c>
      <c r="H19" s="12">
        <v>-315801.39</v>
      </c>
      <c r="I19" s="12">
        <v>-319343.94</v>
      </c>
      <c r="J19" s="12">
        <v>-313479.26</v>
      </c>
      <c r="K19" s="12">
        <v>-333672.69</v>
      </c>
      <c r="L19" s="12">
        <v>-321815.77</v>
      </c>
      <c r="M19" s="12">
        <v>-328053</v>
      </c>
      <c r="N19" s="12">
        <v>-334550.8</v>
      </c>
      <c r="O19" s="12">
        <v>-302189.94</v>
      </c>
      <c r="P19" s="12">
        <v>-330156.37</v>
      </c>
      <c r="Q19" s="13">
        <f t="shared" ref="Q19:W19" si="9">SUM(Q12:Q18)</f>
        <v>-355520.89</v>
      </c>
      <c r="R19" s="13">
        <f t="shared" si="9"/>
        <v>-396953.35</v>
      </c>
      <c r="S19" s="13">
        <f t="shared" si="9"/>
        <v>-358186.03</v>
      </c>
      <c r="T19" s="13">
        <f t="shared" si="9"/>
        <v>-371106.77</v>
      </c>
      <c r="U19" s="13">
        <f t="shared" si="9"/>
        <v>-386086.06</v>
      </c>
      <c r="V19" s="13">
        <f t="shared" si="9"/>
        <v>-382439.70000000007</v>
      </c>
      <c r="W19" s="13">
        <f t="shared" si="9"/>
        <v>-403628.06</v>
      </c>
      <c r="X19" s="13">
        <f t="shared" ref="X19:AC19" si="10">SUM(X12:X18)</f>
        <v>-405974.44000000006</v>
      </c>
      <c r="Y19" s="13">
        <f t="shared" si="10"/>
        <v>-427331.23999999993</v>
      </c>
      <c r="Z19" s="13">
        <f t="shared" si="10"/>
        <v>-425151.13</v>
      </c>
      <c r="AA19" s="13">
        <f t="shared" si="10"/>
        <v>-404187.16000000003</v>
      </c>
      <c r="AB19" s="13">
        <f t="shared" si="10"/>
        <v>-437911.77000000008</v>
      </c>
      <c r="AC19" s="13">
        <f t="shared" si="10"/>
        <v>-440333.63</v>
      </c>
      <c r="AD19" s="13">
        <f t="shared" ref="AD19:AE19" si="11">SUM(AD12:AD18)</f>
        <v>-478001.41000000003</v>
      </c>
      <c r="AE19" s="13">
        <f t="shared" si="11"/>
        <v>-469947.22000000003</v>
      </c>
      <c r="AF19" s="13">
        <f t="shared" ref="AF19:AG19" si="12">SUM(AF12:AF18)</f>
        <v>-484548.4</v>
      </c>
      <c r="AG19" s="13">
        <f t="shared" si="12"/>
        <v>-474170.59</v>
      </c>
      <c r="AH19" s="13">
        <f t="shared" ref="AH19:AI19" si="13">SUM(AH12:AH18)</f>
        <v>-483141.87999999995</v>
      </c>
      <c r="AI19" s="13">
        <f t="shared" si="13"/>
        <v>-499910.62999999995</v>
      </c>
      <c r="AJ19" s="13">
        <f t="shared" ref="AJ19:AK19" si="14">SUM(AJ12:AJ18)</f>
        <v>-511807.17</v>
      </c>
      <c r="AK19" s="13">
        <f t="shared" si="14"/>
        <v>-525449.68999999994</v>
      </c>
      <c r="AL19" s="13">
        <f t="shared" ref="AL19:AM19" si="15">SUM(AL12:AL18)</f>
        <v>-530917.32999999996</v>
      </c>
      <c r="AM19" s="13">
        <f t="shared" si="15"/>
        <v>-479648.74</v>
      </c>
      <c r="AN19" s="13">
        <f>SUM(AN12:AN18)</f>
        <v>-518681.75</v>
      </c>
      <c r="AO19" s="13">
        <f t="shared" ref="AO19:AQ19" si="16">SUM(AO12:AO18)</f>
        <v>-534264.59</v>
      </c>
      <c r="AP19" s="13">
        <f t="shared" si="16"/>
        <v>-545222.54</v>
      </c>
      <c r="AQ19" s="13">
        <f t="shared" si="16"/>
        <v>-550127.99</v>
      </c>
      <c r="AR19" s="13">
        <f t="shared" ref="AR19:BE19" si="17">SUM(AR12:AR18)</f>
        <v>-519479.27</v>
      </c>
      <c r="AS19" s="13">
        <f t="shared" si="17"/>
        <v>-563941.36</v>
      </c>
      <c r="AT19" s="13">
        <f t="shared" si="17"/>
        <v>-610774.36</v>
      </c>
      <c r="AU19" s="13">
        <f t="shared" si="17"/>
        <v>-656291.86</v>
      </c>
      <c r="AV19" s="13">
        <f t="shared" si="17"/>
        <v>-621761.44999999995</v>
      </c>
      <c r="AW19" s="13">
        <f t="shared" si="17"/>
        <v>-642679.99</v>
      </c>
      <c r="AX19" s="13">
        <f t="shared" si="17"/>
        <v>-570044.6</v>
      </c>
      <c r="AY19" s="13">
        <f t="shared" si="17"/>
        <v>-568886.15999999992</v>
      </c>
      <c r="AZ19" s="13">
        <f t="shared" si="17"/>
        <v>-653451.39999999991</v>
      </c>
      <c r="BA19" s="13">
        <f t="shared" si="17"/>
        <v>-617842.09</v>
      </c>
      <c r="BB19" s="13">
        <f t="shared" si="17"/>
        <v>-649472.9</v>
      </c>
      <c r="BC19" s="13">
        <f t="shared" si="17"/>
        <v>-679312.86</v>
      </c>
      <c r="BD19" s="13">
        <f t="shared" si="17"/>
        <v>-629471.90999999992</v>
      </c>
      <c r="BE19" s="13">
        <f t="shared" si="17"/>
        <v>-640793.23</v>
      </c>
      <c r="BF19" s="39">
        <f t="shared" si="3"/>
        <v>-5009275.1499999985</v>
      </c>
      <c r="BG19" s="39">
        <f t="shared" si="4"/>
        <v>-6773791.2300000004</v>
      </c>
      <c r="BH19" s="37">
        <f t="shared" si="5"/>
        <v>-5634560.6799999997</v>
      </c>
      <c r="BI19" s="37">
        <f>SUM(N19:Y19)</f>
        <v>-4454123.6500000004</v>
      </c>
      <c r="BJ19" s="32">
        <f t="shared" si="6"/>
        <v>-3216892.9899999998</v>
      </c>
      <c r="BK19" s="32">
        <f t="shared" si="7"/>
        <v>-7036925.5699999984</v>
      </c>
      <c r="BL19" s="32">
        <f t="shared" si="8"/>
        <v>-5896558.4399999995</v>
      </c>
      <c r="BM19" s="32">
        <f>SUM(Q19:AB19)</f>
        <v>-4754476.6000000006</v>
      </c>
      <c r="BN19" s="32">
        <f>SUM(E19:P19)</f>
        <v>-3805684.9899999998</v>
      </c>
      <c r="BO19" s="32">
        <f>SUM(B19:D19)</f>
        <v>-794829.6399999999</v>
      </c>
      <c r="BP19" s="7"/>
      <c r="BQ19" s="7"/>
    </row>
    <row r="20" spans="1:69" ht="14.4" x14ac:dyDescent="0.3">
      <c r="A20" s="1" t="s">
        <v>25</v>
      </c>
      <c r="Q20" s="16"/>
      <c r="R20" s="17"/>
      <c r="S20" s="17"/>
      <c r="T20" s="17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/>
      <c r="BA20" s="8"/>
      <c r="BB20" s="8"/>
      <c r="BC20" s="8"/>
      <c r="BD20" s="8"/>
      <c r="BE20" s="8"/>
      <c r="BF20" s="40"/>
      <c r="BG20" s="35"/>
      <c r="BH20" s="35"/>
      <c r="BI20" s="35"/>
      <c r="BJ20" s="31"/>
      <c r="BK20" s="31"/>
      <c r="BL20" s="31"/>
      <c r="BM20" s="31"/>
      <c r="BN20" s="31"/>
      <c r="BO20" s="31"/>
      <c r="BP20" s="7"/>
      <c r="BQ20" s="7"/>
    </row>
    <row r="21" spans="1:69" ht="14.4" x14ac:dyDescent="0.3">
      <c r="A21" s="1" t="s">
        <v>26</v>
      </c>
      <c r="B21" s="8">
        <v>2485.56</v>
      </c>
      <c r="C21" s="8">
        <v>2485.56</v>
      </c>
      <c r="D21" s="8">
        <v>2485.56</v>
      </c>
      <c r="E21" s="8">
        <v>2696.44</v>
      </c>
      <c r="F21" s="8">
        <v>2591.4</v>
      </c>
      <c r="G21" s="8">
        <v>2588.59</v>
      </c>
      <c r="H21" s="8">
        <v>1692.73</v>
      </c>
      <c r="I21" s="8">
        <v>1301.3800000000001</v>
      </c>
      <c r="J21" s="8">
        <v>2021.64</v>
      </c>
      <c r="K21" s="8">
        <v>4256.76</v>
      </c>
      <c r="L21" s="8">
        <v>4283.55</v>
      </c>
      <c r="M21" s="8">
        <v>4500.32</v>
      </c>
      <c r="N21" s="8">
        <v>3955.2</v>
      </c>
      <c r="O21" s="8">
        <v>5371.92</v>
      </c>
      <c r="P21" s="8">
        <v>5080.2299999999996</v>
      </c>
      <c r="Q21" s="27">
        <v>5047.62</v>
      </c>
      <c r="R21" s="27">
        <v>5654.3</v>
      </c>
      <c r="S21" s="27">
        <v>4938.7</v>
      </c>
      <c r="T21" s="27">
        <v>7019.09</v>
      </c>
      <c r="U21" s="27">
        <v>9676.9699999999993</v>
      </c>
      <c r="V21" s="27">
        <v>7319.91</v>
      </c>
      <c r="W21" s="27">
        <v>9276.64</v>
      </c>
      <c r="X21" s="27">
        <v>6103.61</v>
      </c>
      <c r="Y21" s="27">
        <v>5275.25</v>
      </c>
      <c r="Z21" s="27">
        <v>5617.87</v>
      </c>
      <c r="AA21" s="27">
        <v>7488.15</v>
      </c>
      <c r="AB21" s="27">
        <v>7142.85</v>
      </c>
      <c r="AC21" s="8">
        <v>7155.9</v>
      </c>
      <c r="AD21" s="8">
        <v>6655.11</v>
      </c>
      <c r="AE21" s="8">
        <v>36583.339999999997</v>
      </c>
      <c r="AF21" s="8">
        <v>25780.1</v>
      </c>
      <c r="AG21" s="8">
        <v>5822.75</v>
      </c>
      <c r="AH21" s="8">
        <v>6136.45</v>
      </c>
      <c r="AI21" s="8">
        <v>55014.13</v>
      </c>
      <c r="AJ21" s="8">
        <v>1860.7</v>
      </c>
      <c r="AK21" s="8">
        <v>1929.01</v>
      </c>
      <c r="AL21" s="8">
        <v>1934.88</v>
      </c>
      <c r="AM21" s="8">
        <v>2029.5</v>
      </c>
      <c r="AN21" s="8">
        <v>1801.75</v>
      </c>
      <c r="AO21" s="8">
        <v>539.19000000000005</v>
      </c>
      <c r="AP21" s="8">
        <v>486.38</v>
      </c>
      <c r="AQ21" s="8">
        <v>805.44</v>
      </c>
      <c r="AR21" s="8">
        <v>2615.38</v>
      </c>
      <c r="AS21" s="8">
        <v>2744.64</v>
      </c>
      <c r="AT21" s="8">
        <v>2810.74</v>
      </c>
      <c r="AU21" s="8">
        <v>4828.72</v>
      </c>
      <c r="AV21" s="8">
        <v>6554.09</v>
      </c>
      <c r="AW21" s="8">
        <v>6772.57</v>
      </c>
      <c r="AX21" s="8">
        <v>32072.6</v>
      </c>
      <c r="AY21" s="8">
        <v>16499.66</v>
      </c>
      <c r="AZ21" s="8">
        <v>14980</v>
      </c>
      <c r="BA21" s="8">
        <v>14575.96</v>
      </c>
      <c r="BB21" s="8">
        <v>14685.17</v>
      </c>
      <c r="BC21" s="8">
        <v>-361.53</v>
      </c>
      <c r="BD21" s="8">
        <v>213.46</v>
      </c>
      <c r="BE21" s="8">
        <v>-6629.36</v>
      </c>
      <c r="BF21" s="36">
        <f>SUM(AX21:BE21)</f>
        <v>86035.96</v>
      </c>
      <c r="BG21" s="36">
        <f>SUM(AL21:AW21)</f>
        <v>33923.279999999999</v>
      </c>
      <c r="BH21" s="38">
        <f>SUM(Z21:AK21)</f>
        <v>167186.36000000002</v>
      </c>
      <c r="BI21" s="38">
        <f>SUM(N21:Y21)</f>
        <v>74719.44</v>
      </c>
      <c r="BJ21" s="31">
        <f>SUM(BA21:BE21)</f>
        <v>22483.699999999997</v>
      </c>
      <c r="BK21" s="31">
        <f>SUM(AO21:AZ21)</f>
        <v>91709.41</v>
      </c>
      <c r="BL21" s="31">
        <f>SUM(AC21:AN21)</f>
        <v>152703.62</v>
      </c>
      <c r="BM21" s="31">
        <f>SUM(Q21:AB21)</f>
        <v>80560.959999999992</v>
      </c>
      <c r="BN21" s="31">
        <f>SUM(E21:P21)</f>
        <v>40340.160000000003</v>
      </c>
      <c r="BO21" s="31">
        <f>SUM(B21:D21)</f>
        <v>7456.68</v>
      </c>
      <c r="BP21" s="7"/>
      <c r="BQ21" s="7"/>
    </row>
    <row r="22" spans="1:69" s="4" customFormat="1" ht="14.4" x14ac:dyDescent="0.3">
      <c r="A22" s="4" t="s">
        <v>27</v>
      </c>
      <c r="B22" s="12">
        <v>2485.56</v>
      </c>
      <c r="C22" s="12">
        <v>2485.56</v>
      </c>
      <c r="D22" s="12">
        <v>2485.56</v>
      </c>
      <c r="E22" s="12">
        <v>2696.44</v>
      </c>
      <c r="F22" s="12">
        <v>2591.4</v>
      </c>
      <c r="G22" s="12">
        <v>2588.59</v>
      </c>
      <c r="H22" s="12">
        <v>1692.73</v>
      </c>
      <c r="I22" s="12">
        <v>1301.3800000000001</v>
      </c>
      <c r="J22" s="12">
        <v>2021.64</v>
      </c>
      <c r="K22" s="12">
        <v>4256.76</v>
      </c>
      <c r="L22" s="12">
        <v>4283.55</v>
      </c>
      <c r="M22" s="12">
        <v>4500.32</v>
      </c>
      <c r="N22" s="12">
        <v>3955.2</v>
      </c>
      <c r="O22" s="12">
        <v>5371.92</v>
      </c>
      <c r="P22" s="12">
        <v>5080.2299999999996</v>
      </c>
      <c r="Q22" s="9">
        <f>SUM(Q21)</f>
        <v>5047.62</v>
      </c>
      <c r="R22" s="8">
        <f>SUM(R21)</f>
        <v>5654.3</v>
      </c>
      <c r="S22" s="8">
        <f t="shared" ref="S22:AB22" si="18">SUM(S21)</f>
        <v>4938.7</v>
      </c>
      <c r="T22" s="8">
        <f t="shared" si="18"/>
        <v>7019.09</v>
      </c>
      <c r="U22" s="8">
        <f t="shared" si="18"/>
        <v>9676.9699999999993</v>
      </c>
      <c r="V22" s="8">
        <f t="shared" si="18"/>
        <v>7319.91</v>
      </c>
      <c r="W22" s="8">
        <f t="shared" si="18"/>
        <v>9276.64</v>
      </c>
      <c r="X22" s="8">
        <f t="shared" si="18"/>
        <v>6103.61</v>
      </c>
      <c r="Y22" s="8">
        <f t="shared" si="18"/>
        <v>5275.25</v>
      </c>
      <c r="Z22" s="8">
        <f t="shared" ref="Z22:AA22" si="19">SUM(Z21)</f>
        <v>5617.87</v>
      </c>
      <c r="AA22" s="8">
        <f t="shared" si="19"/>
        <v>7488.15</v>
      </c>
      <c r="AB22" s="8">
        <f t="shared" si="18"/>
        <v>7142.85</v>
      </c>
      <c r="AC22" s="12">
        <f t="shared" ref="AC22:AD22" si="20">SUM(AC21)</f>
        <v>7155.9</v>
      </c>
      <c r="AD22" s="12">
        <f t="shared" si="20"/>
        <v>6655.11</v>
      </c>
      <c r="AE22" s="12">
        <f t="shared" ref="AE22:AF22" si="21">SUM(AE21)</f>
        <v>36583.339999999997</v>
      </c>
      <c r="AF22" s="12">
        <f t="shared" si="21"/>
        <v>25780.1</v>
      </c>
      <c r="AG22" s="12">
        <f t="shared" ref="AG22:AH22" si="22">SUM(AG21)</f>
        <v>5822.75</v>
      </c>
      <c r="AH22" s="12">
        <f t="shared" si="22"/>
        <v>6136.45</v>
      </c>
      <c r="AI22" s="12">
        <f t="shared" ref="AI22:AJ22" si="23">SUM(AI21)</f>
        <v>55014.13</v>
      </c>
      <c r="AJ22" s="12">
        <f t="shared" si="23"/>
        <v>1860.7</v>
      </c>
      <c r="AK22" s="12">
        <f t="shared" ref="AK22" si="24">SUM(AK21)</f>
        <v>1929.01</v>
      </c>
      <c r="AL22" s="12">
        <f t="shared" ref="AL22:AM22" si="25">SUM(AL21)</f>
        <v>1934.88</v>
      </c>
      <c r="AM22" s="12">
        <f t="shared" si="25"/>
        <v>2029.5</v>
      </c>
      <c r="AN22" s="12">
        <f t="shared" ref="AN22:AQ22" si="26">SUM(AN21)</f>
        <v>1801.75</v>
      </c>
      <c r="AO22" s="12">
        <f t="shared" si="26"/>
        <v>539.19000000000005</v>
      </c>
      <c r="AP22" s="12">
        <f t="shared" si="26"/>
        <v>486.38</v>
      </c>
      <c r="AQ22" s="12">
        <f t="shared" si="26"/>
        <v>805.44</v>
      </c>
      <c r="AR22" s="12">
        <f t="shared" ref="AR22:BB22" si="27">SUM(AR21)</f>
        <v>2615.38</v>
      </c>
      <c r="AS22" s="12">
        <f t="shared" si="27"/>
        <v>2744.64</v>
      </c>
      <c r="AT22" s="12">
        <f t="shared" si="27"/>
        <v>2810.74</v>
      </c>
      <c r="AU22" s="12">
        <f t="shared" si="27"/>
        <v>4828.72</v>
      </c>
      <c r="AV22" s="12">
        <f t="shared" si="27"/>
        <v>6554.09</v>
      </c>
      <c r="AW22" s="12">
        <f t="shared" si="27"/>
        <v>6772.57</v>
      </c>
      <c r="AX22" s="12">
        <f t="shared" si="27"/>
        <v>32072.6</v>
      </c>
      <c r="AY22" s="12">
        <f t="shared" si="27"/>
        <v>16499.66</v>
      </c>
      <c r="AZ22" s="12">
        <f t="shared" si="27"/>
        <v>14980</v>
      </c>
      <c r="BA22" s="12">
        <f t="shared" si="27"/>
        <v>14575.96</v>
      </c>
      <c r="BB22" s="12">
        <f t="shared" si="27"/>
        <v>14685.17</v>
      </c>
      <c r="BC22" s="12">
        <f t="shared" ref="BC22:BE22" si="28">SUM(BC21)</f>
        <v>-361.53</v>
      </c>
      <c r="BD22" s="12">
        <f t="shared" si="28"/>
        <v>213.46</v>
      </c>
      <c r="BE22" s="12">
        <f t="shared" si="28"/>
        <v>-6629.36</v>
      </c>
      <c r="BF22" s="39">
        <f>SUM(AX22:BE22)</f>
        <v>86035.96</v>
      </c>
      <c r="BG22" s="39">
        <f>SUM(AL22:AW22)</f>
        <v>33923.279999999999</v>
      </c>
      <c r="BH22" s="39">
        <f>SUM(Z22:AK22)</f>
        <v>167186.36000000002</v>
      </c>
      <c r="BI22" s="39">
        <f>SUM(N22:Y22)</f>
        <v>74719.44</v>
      </c>
      <c r="BJ22" s="31">
        <f>SUM(BA22:BE22)</f>
        <v>22483.699999999997</v>
      </c>
      <c r="BK22" s="31">
        <f>SUM(AO22:AZ22)</f>
        <v>91709.41</v>
      </c>
      <c r="BL22" s="32">
        <f>SUM(AC22:AN22)</f>
        <v>152703.62</v>
      </c>
      <c r="BM22" s="32">
        <f>SUM(Q22:AB22)</f>
        <v>80560.959999999992</v>
      </c>
      <c r="BN22" s="32">
        <f>SUM(E22:P22)</f>
        <v>40340.160000000003</v>
      </c>
      <c r="BO22" s="32">
        <f>SUM(B22:D22)</f>
        <v>7456.68</v>
      </c>
      <c r="BP22" s="7" t="s">
        <v>168</v>
      </c>
      <c r="BQ22" s="7"/>
    </row>
    <row r="23" spans="1:69" s="4" customFormat="1" ht="14.4" x14ac:dyDescent="0.3">
      <c r="A23" s="4" t="s">
        <v>28</v>
      </c>
      <c r="B23" s="12">
        <v>-256350.43</v>
      </c>
      <c r="C23" s="12">
        <v>-249667.24</v>
      </c>
      <c r="D23" s="12">
        <v>-281355.28999999998</v>
      </c>
      <c r="E23" s="12">
        <v>-286049</v>
      </c>
      <c r="F23" s="12">
        <v>-308187.09999999998</v>
      </c>
      <c r="G23" s="12">
        <v>-304509.3</v>
      </c>
      <c r="H23" s="12">
        <v>-314108.65999999997</v>
      </c>
      <c r="I23" s="12">
        <v>-318042.56</v>
      </c>
      <c r="J23" s="12">
        <v>-311457.62</v>
      </c>
      <c r="K23" s="12">
        <v>-329415.93</v>
      </c>
      <c r="L23" s="12">
        <v>-317532.21999999997</v>
      </c>
      <c r="M23" s="12">
        <v>-323552.68</v>
      </c>
      <c r="N23" s="12">
        <v>-330595.59999999998</v>
      </c>
      <c r="O23" s="12">
        <v>-296818.02</v>
      </c>
      <c r="P23" s="12">
        <v>-325076.14</v>
      </c>
      <c r="Q23" s="12">
        <f t="shared" ref="Q23:AB23" si="29">SUM(Q19+Q22)</f>
        <v>-350473.27</v>
      </c>
      <c r="R23" s="12">
        <f t="shared" si="29"/>
        <v>-391299.05</v>
      </c>
      <c r="S23" s="12">
        <f t="shared" si="29"/>
        <v>-353247.33</v>
      </c>
      <c r="T23" s="12">
        <f t="shared" si="29"/>
        <v>-364087.68</v>
      </c>
      <c r="U23" s="12">
        <f t="shared" si="29"/>
        <v>-376409.09</v>
      </c>
      <c r="V23" s="12">
        <f t="shared" si="29"/>
        <v>-375119.7900000001</v>
      </c>
      <c r="W23" s="12">
        <f t="shared" si="29"/>
        <v>-394351.42</v>
      </c>
      <c r="X23" s="12">
        <f>SUM(X19+X22)</f>
        <v>-399870.83000000007</v>
      </c>
      <c r="Y23" s="12">
        <f t="shared" ref="Y23" si="30">SUM(Y19+Y22)</f>
        <v>-422055.98999999993</v>
      </c>
      <c r="Z23" s="12">
        <f t="shared" ref="Z23:AA23" si="31">SUM(Z19+Z22)</f>
        <v>-419533.26</v>
      </c>
      <c r="AA23" s="12">
        <f t="shared" si="31"/>
        <v>-396699.01</v>
      </c>
      <c r="AB23" s="12">
        <f t="shared" si="29"/>
        <v>-430768.9200000001</v>
      </c>
      <c r="AC23" s="12">
        <f t="shared" ref="AC23:AD23" si="32">SUM(AC19+AC22)</f>
        <v>-433177.73</v>
      </c>
      <c r="AD23" s="12">
        <f t="shared" si="32"/>
        <v>-471346.30000000005</v>
      </c>
      <c r="AE23" s="12">
        <f t="shared" ref="AE23:AF23" si="33">SUM(AE19+AE22)</f>
        <v>-433363.88</v>
      </c>
      <c r="AF23" s="12">
        <f t="shared" si="33"/>
        <v>-458768.30000000005</v>
      </c>
      <c r="AG23" s="12">
        <f t="shared" ref="AG23:AH23" si="34">SUM(AG19+AG22)</f>
        <v>-468347.84</v>
      </c>
      <c r="AH23" s="12">
        <f t="shared" si="34"/>
        <v>-477005.42999999993</v>
      </c>
      <c r="AI23" s="12">
        <f t="shared" ref="AI23:AJ23" si="35">SUM(AI19+AI22)</f>
        <v>-444896.49999999994</v>
      </c>
      <c r="AJ23" s="12">
        <f t="shared" si="35"/>
        <v>-509946.47</v>
      </c>
      <c r="AK23" s="12">
        <f>SUM(AK19+AK22)</f>
        <v>-523520.67999999993</v>
      </c>
      <c r="AL23" s="13">
        <f>SUM(AL19+AL22)</f>
        <v>-528982.44999999995</v>
      </c>
      <c r="AM23" s="13">
        <f>SUM(AM19+AM22)</f>
        <v>-477619.24</v>
      </c>
      <c r="AN23" s="13">
        <f>SUM(AN19+AN22)</f>
        <v>-516880</v>
      </c>
      <c r="AO23" s="13">
        <f t="shared" ref="AO23:AQ23" si="36">SUM(AO19+AO22)</f>
        <v>-533725.4</v>
      </c>
      <c r="AP23" s="13">
        <f t="shared" si="36"/>
        <v>-544736.16</v>
      </c>
      <c r="AQ23" s="13">
        <f t="shared" si="36"/>
        <v>-549322.55000000005</v>
      </c>
      <c r="AR23" s="13">
        <f t="shared" ref="AR23:BB23" si="37">SUM(AR19+AR22)</f>
        <v>-516863.89</v>
      </c>
      <c r="AS23" s="13">
        <f t="shared" si="37"/>
        <v>-561196.72</v>
      </c>
      <c r="AT23" s="13">
        <f t="shared" si="37"/>
        <v>-607963.62</v>
      </c>
      <c r="AU23" s="13">
        <f t="shared" si="37"/>
        <v>-651463.14</v>
      </c>
      <c r="AV23" s="13">
        <f t="shared" si="37"/>
        <v>-615207.36</v>
      </c>
      <c r="AW23" s="13">
        <f t="shared" si="37"/>
        <v>-635907.42000000004</v>
      </c>
      <c r="AX23" s="13">
        <f t="shared" si="37"/>
        <v>-537972</v>
      </c>
      <c r="AY23" s="13">
        <f t="shared" si="37"/>
        <v>-552386.49999999988</v>
      </c>
      <c r="AZ23" s="13">
        <f t="shared" si="37"/>
        <v>-638471.39999999991</v>
      </c>
      <c r="BA23" s="13">
        <f t="shared" si="37"/>
        <v>-603266.13</v>
      </c>
      <c r="BB23" s="13">
        <f t="shared" si="37"/>
        <v>-634787.73</v>
      </c>
      <c r="BC23" s="13">
        <f t="shared" ref="BC23:BE23" si="38">SUM(BC19+BC22)</f>
        <v>-679674.39</v>
      </c>
      <c r="BD23" s="13">
        <f t="shared" si="38"/>
        <v>-629258.44999999995</v>
      </c>
      <c r="BE23" s="13">
        <f t="shared" si="38"/>
        <v>-647422.59</v>
      </c>
      <c r="BF23" s="39">
        <f>SUM(AX23:BE23)</f>
        <v>-4923239.1899999995</v>
      </c>
      <c r="BG23" s="39">
        <f>SUM(AL23:AW23)</f>
        <v>-6739867.9500000002</v>
      </c>
      <c r="BH23" s="39">
        <f>SUM(Z23:AK23)</f>
        <v>-5467374.3199999994</v>
      </c>
      <c r="BI23" s="39">
        <f>SUM(N23:Y23)</f>
        <v>-4379404.21</v>
      </c>
      <c r="BJ23" s="32">
        <f>SUM(BA23:BE23)</f>
        <v>-3194409.29</v>
      </c>
      <c r="BK23" s="32">
        <f>SUM(AO23:AZ23)</f>
        <v>-6945216.1600000001</v>
      </c>
      <c r="BL23" s="32">
        <f>SUM(AC23:AN23)</f>
        <v>-5743854.8200000003</v>
      </c>
      <c r="BM23" s="32">
        <f>SUM(Q23:AB23)</f>
        <v>-4673915.6399999997</v>
      </c>
      <c r="BN23" s="32">
        <f>SUM(N23:Y23)</f>
        <v>-4379404.21</v>
      </c>
      <c r="BO23" s="32">
        <f>SUM(B23:D23)</f>
        <v>-787372.96</v>
      </c>
      <c r="BP23" s="7"/>
      <c r="BQ23" s="7"/>
    </row>
    <row r="24" spans="1:69" ht="14.4" x14ac:dyDescent="0.3">
      <c r="A24" s="1" t="s">
        <v>29</v>
      </c>
      <c r="Q24" s="16"/>
      <c r="R24" s="17"/>
      <c r="S24" s="17"/>
      <c r="T24" s="17"/>
      <c r="U24" s="17"/>
      <c r="V24" s="17"/>
      <c r="W24" s="17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40"/>
      <c r="BG24" s="35"/>
      <c r="BH24" s="35"/>
      <c r="BI24" s="35"/>
      <c r="BJ24" s="31"/>
      <c r="BK24" s="31"/>
      <c r="BL24" s="31"/>
      <c r="BM24" s="31"/>
      <c r="BN24" s="31"/>
      <c r="BO24" s="31"/>
      <c r="BP24" s="7"/>
      <c r="BQ24" s="7"/>
    </row>
    <row r="25" spans="1:69" ht="14.4" x14ac:dyDescent="0.3">
      <c r="A25" s="1" t="s">
        <v>30</v>
      </c>
      <c r="Q25" s="16"/>
      <c r="R25" s="17"/>
      <c r="S25" s="17"/>
      <c r="T25" s="17"/>
      <c r="U25" s="17"/>
      <c r="V25" s="17"/>
      <c r="W25" s="17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40"/>
      <c r="BG25" s="35"/>
      <c r="BH25" s="35"/>
      <c r="BI25" s="35"/>
      <c r="BJ25" s="31"/>
      <c r="BK25" s="31"/>
      <c r="BL25" s="31"/>
      <c r="BM25" s="31"/>
      <c r="BN25" s="31"/>
      <c r="BO25" s="31"/>
      <c r="BP25" s="7"/>
      <c r="BQ25" s="7"/>
    </row>
    <row r="26" spans="1:69" ht="14.4" x14ac:dyDescent="0.3">
      <c r="A26" s="1" t="s">
        <v>31</v>
      </c>
      <c r="B26" s="8">
        <v>28519.01</v>
      </c>
      <c r="C26" s="8">
        <v>28519.01</v>
      </c>
      <c r="D26" s="8">
        <v>28519.01</v>
      </c>
      <c r="E26" s="8">
        <v>28820.080000000002</v>
      </c>
      <c r="F26" s="8">
        <v>28991.51</v>
      </c>
      <c r="G26" s="8">
        <v>28991.51</v>
      </c>
      <c r="H26" s="8">
        <v>32516.51</v>
      </c>
      <c r="I26" s="8">
        <v>32516.51</v>
      </c>
      <c r="J26" s="8">
        <v>38289.29</v>
      </c>
      <c r="K26" s="8">
        <v>39241.51</v>
      </c>
      <c r="L26" s="8">
        <v>39054.01</v>
      </c>
      <c r="M26" s="8">
        <v>39054.01</v>
      </c>
      <c r="N26" s="8">
        <v>43754.01</v>
      </c>
      <c r="O26" s="8">
        <v>46056.480000000003</v>
      </c>
      <c r="P26" s="8">
        <v>44607.85</v>
      </c>
      <c r="Q26" s="9">
        <v>39759.99</v>
      </c>
      <c r="R26" s="10">
        <v>40177.99</v>
      </c>
      <c r="S26" s="10">
        <v>40627.99</v>
      </c>
      <c r="T26" s="10">
        <v>40909.99</v>
      </c>
      <c r="U26" s="8">
        <v>42866.51</v>
      </c>
      <c r="V26" s="8">
        <v>46303.53</v>
      </c>
      <c r="W26" s="10">
        <v>46330.74</v>
      </c>
      <c r="X26" s="8">
        <v>46330.74</v>
      </c>
      <c r="Y26" s="8">
        <v>49830.74</v>
      </c>
      <c r="Z26" s="8">
        <v>57004.59</v>
      </c>
      <c r="AA26" s="8">
        <v>57178.5</v>
      </c>
      <c r="AB26" s="8">
        <v>57178.5</v>
      </c>
      <c r="AC26" s="8">
        <v>61178.5</v>
      </c>
      <c r="AD26" s="8">
        <v>62127.5</v>
      </c>
      <c r="AE26" s="8">
        <v>70460.5</v>
      </c>
      <c r="AF26" s="8">
        <v>70460.5</v>
      </c>
      <c r="AG26" s="8">
        <v>69446.38</v>
      </c>
      <c r="AH26" s="8">
        <v>77238.38</v>
      </c>
      <c r="AI26" s="8">
        <v>78423.38</v>
      </c>
      <c r="AJ26" s="8">
        <v>74814.880000000005</v>
      </c>
      <c r="AK26" s="8">
        <v>74814.880000000005</v>
      </c>
      <c r="AL26" s="8">
        <v>82674.94</v>
      </c>
      <c r="AM26" s="8">
        <v>86782.18</v>
      </c>
      <c r="AN26" s="8">
        <v>81010.67</v>
      </c>
      <c r="AO26" s="8">
        <v>90056.79</v>
      </c>
      <c r="AP26" s="8">
        <v>86782.18</v>
      </c>
      <c r="AQ26" s="8">
        <v>89284.94</v>
      </c>
      <c r="AR26" s="8">
        <v>95960.18</v>
      </c>
      <c r="AS26" s="8">
        <v>96670.02</v>
      </c>
      <c r="AT26" s="8">
        <v>89043.18</v>
      </c>
      <c r="AU26" s="8">
        <v>102081.18</v>
      </c>
      <c r="AV26" s="8">
        <v>104414.66</v>
      </c>
      <c r="AW26" s="8">
        <v>104414.77</v>
      </c>
      <c r="AX26" s="8">
        <v>102341.06</v>
      </c>
      <c r="AY26" s="8">
        <v>103729.38</v>
      </c>
      <c r="AZ26" s="8">
        <v>109215.14</v>
      </c>
      <c r="BA26" s="8">
        <v>108764.98</v>
      </c>
      <c r="BB26" s="8">
        <v>108764.98</v>
      </c>
      <c r="BC26" s="8">
        <v>108764.98</v>
      </c>
      <c r="BD26" s="8">
        <v>104603.36</v>
      </c>
      <c r="BE26" s="8">
        <v>110330.54</v>
      </c>
      <c r="BF26" s="36">
        <f t="shared" ref="BF26:BF45" si="39">SUM(AX26:BE26)</f>
        <v>856514.42</v>
      </c>
      <c r="BG26" s="36">
        <f t="shared" ref="BG26:BG45" si="40">SUM(AL26:AW26)</f>
        <v>1109175.6899999997</v>
      </c>
      <c r="BH26" s="36">
        <f t="shared" ref="BH26:BH33" si="41">SUM(Z26:AK26)</f>
        <v>810326.49</v>
      </c>
      <c r="BI26" s="36">
        <f t="shared" ref="BI26:BI31" si="42">SUM(N26:Y26)</f>
        <v>527556.55999999994</v>
      </c>
      <c r="BJ26" s="31">
        <f t="shared" ref="BJ26:BJ45" si="43">SUM(BA26:BE26)</f>
        <v>541228.84</v>
      </c>
      <c r="BK26" s="31">
        <f t="shared" ref="BK26:BK45" si="44">SUM(AO26:AZ26)</f>
        <v>1173993.4799999997</v>
      </c>
      <c r="BL26" s="31">
        <f t="shared" ref="BL26:BL45" si="45">SUM(AC26:AN26)</f>
        <v>889432.69000000006</v>
      </c>
      <c r="BM26" s="31">
        <f>SUM(Q26:AB26)</f>
        <v>564499.80999999994</v>
      </c>
      <c r="BN26" s="31">
        <f>SUM(E26:P26)</f>
        <v>441893.27999999997</v>
      </c>
      <c r="BO26" s="31">
        <f>SUM(B26:D26)</f>
        <v>85557.03</v>
      </c>
      <c r="BP26" s="7"/>
      <c r="BQ26" s="7"/>
    </row>
    <row r="27" spans="1:69" ht="14.4" x14ac:dyDescent="0.3">
      <c r="A27" s="1" t="s">
        <v>32</v>
      </c>
      <c r="D27" s="8">
        <v>0</v>
      </c>
      <c r="G27" s="8">
        <v>46739</v>
      </c>
      <c r="P27" s="8">
        <v>16000</v>
      </c>
      <c r="Q27" s="16"/>
      <c r="S27" s="11">
        <v>71644</v>
      </c>
      <c r="T27" s="11"/>
      <c r="W27" s="11"/>
      <c r="AC27" s="8">
        <v>0</v>
      </c>
      <c r="AD27" s="8">
        <v>0</v>
      </c>
      <c r="AE27" s="8">
        <v>0</v>
      </c>
      <c r="AF27" s="8">
        <v>0</v>
      </c>
      <c r="AG27" s="8">
        <v>97197</v>
      </c>
      <c r="AH27" s="8">
        <v>0</v>
      </c>
      <c r="AI27" s="8">
        <v>0</v>
      </c>
      <c r="AJ27" s="8">
        <v>2000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159315</v>
      </c>
      <c r="AR27" s="8">
        <v>0</v>
      </c>
      <c r="AS27" s="8">
        <v>0</v>
      </c>
      <c r="AT27" s="8">
        <v>0</v>
      </c>
      <c r="AU27" s="8">
        <v>0</v>
      </c>
      <c r="AV27" s="8">
        <v>4758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20810</v>
      </c>
      <c r="BD27" s="8">
        <v>15760</v>
      </c>
      <c r="BE27" s="8">
        <v>21115</v>
      </c>
      <c r="BF27" s="36">
        <f t="shared" si="39"/>
        <v>57685</v>
      </c>
      <c r="BG27" s="36">
        <f t="shared" si="40"/>
        <v>164073</v>
      </c>
      <c r="BH27" s="35">
        <f t="shared" si="41"/>
        <v>99197</v>
      </c>
      <c r="BI27" s="35">
        <f t="shared" si="42"/>
        <v>87644</v>
      </c>
      <c r="BJ27" s="31">
        <f t="shared" si="43"/>
        <v>57685</v>
      </c>
      <c r="BK27" s="31">
        <f t="shared" si="44"/>
        <v>164073</v>
      </c>
      <c r="BL27" s="31">
        <f t="shared" si="45"/>
        <v>99197</v>
      </c>
      <c r="BM27" s="31">
        <f>SUM(Q27:AB27)</f>
        <v>71644</v>
      </c>
      <c r="BN27" s="31">
        <f>SUM(E27:P27)</f>
        <v>62739</v>
      </c>
      <c r="BO27" s="31">
        <f>SUM(B27:D27)</f>
        <v>0</v>
      </c>
      <c r="BP27" s="7"/>
      <c r="BQ27" s="7"/>
    </row>
    <row r="28" spans="1:69" ht="14.4" x14ac:dyDescent="0.3">
      <c r="A28" s="1" t="s">
        <v>107</v>
      </c>
      <c r="D28" s="8"/>
      <c r="G28" s="8"/>
      <c r="P28" s="8"/>
      <c r="Q28" s="16"/>
      <c r="S28" s="11"/>
      <c r="T28" s="11"/>
      <c r="W28" s="11"/>
      <c r="AC28" s="8">
        <v>0</v>
      </c>
      <c r="AD28" s="8">
        <v>0</v>
      </c>
      <c r="AE28" s="8">
        <v>3075</v>
      </c>
      <c r="AF28" s="8">
        <v>2025</v>
      </c>
      <c r="AG28" s="8">
        <v>0</v>
      </c>
      <c r="AH28" s="8">
        <v>1725</v>
      </c>
      <c r="AI28" s="8">
        <v>7050</v>
      </c>
      <c r="AJ28" s="8">
        <v>5775</v>
      </c>
      <c r="AK28" s="8">
        <v>2625</v>
      </c>
      <c r="AL28" s="8">
        <v>5250</v>
      </c>
      <c r="AM28" s="8">
        <v>0</v>
      </c>
      <c r="AN28" s="8">
        <v>0</v>
      </c>
      <c r="AO28" s="8">
        <v>3525</v>
      </c>
      <c r="AP28" s="8">
        <v>0</v>
      </c>
      <c r="AQ28" s="8">
        <v>3750</v>
      </c>
      <c r="AR28" s="8">
        <v>3112.5</v>
      </c>
      <c r="AS28" s="8">
        <v>3112.5</v>
      </c>
      <c r="AT28" s="8">
        <v>9525</v>
      </c>
      <c r="AU28" s="8">
        <v>8800</v>
      </c>
      <c r="AV28" s="8">
        <v>500</v>
      </c>
      <c r="AW28" s="8">
        <v>7950</v>
      </c>
      <c r="AX28" s="8">
        <v>7000</v>
      </c>
      <c r="AY28" s="8">
        <v>-7000</v>
      </c>
      <c r="AZ28" s="8">
        <v>0</v>
      </c>
      <c r="BA28" s="8" t="s">
        <v>133</v>
      </c>
      <c r="BB28" s="8"/>
      <c r="BC28" s="8"/>
      <c r="BD28" s="8"/>
      <c r="BE28" s="8"/>
      <c r="BF28" s="36">
        <f t="shared" si="39"/>
        <v>0</v>
      </c>
      <c r="BG28" s="36">
        <f t="shared" si="40"/>
        <v>45525</v>
      </c>
      <c r="BH28" s="35">
        <f t="shared" si="41"/>
        <v>22275</v>
      </c>
      <c r="BI28" s="35">
        <f t="shared" si="42"/>
        <v>0</v>
      </c>
      <c r="BJ28" s="31">
        <f t="shared" si="43"/>
        <v>0</v>
      </c>
      <c r="BK28" s="31">
        <f t="shared" si="44"/>
        <v>40275</v>
      </c>
      <c r="BL28" s="31">
        <f t="shared" si="45"/>
        <v>27525</v>
      </c>
      <c r="BM28" s="31"/>
      <c r="BN28" s="31"/>
      <c r="BO28" s="31"/>
      <c r="BP28" s="7"/>
      <c r="BQ28" s="7"/>
    </row>
    <row r="29" spans="1:69" ht="14.4" x14ac:dyDescent="0.3">
      <c r="A29" s="1" t="s">
        <v>33</v>
      </c>
      <c r="B29" s="8">
        <v>2162.33</v>
      </c>
      <c r="C29" s="8">
        <v>2150.08</v>
      </c>
      <c r="D29" s="8">
        <v>2650.08</v>
      </c>
      <c r="E29" s="8">
        <v>2150.08</v>
      </c>
      <c r="F29" s="8">
        <v>2116.75</v>
      </c>
      <c r="G29" s="8">
        <v>2150.08</v>
      </c>
      <c r="H29" s="8">
        <v>2150.08</v>
      </c>
      <c r="I29" s="8">
        <v>2150.08</v>
      </c>
      <c r="J29" s="8">
        <v>2153.5100000000002</v>
      </c>
      <c r="K29" s="8">
        <v>2163.46</v>
      </c>
      <c r="L29" s="8">
        <v>4645.67</v>
      </c>
      <c r="M29" s="8">
        <v>3748.88</v>
      </c>
      <c r="N29" s="8">
        <v>3585.7</v>
      </c>
      <c r="O29" s="8">
        <v>-500</v>
      </c>
      <c r="P29" s="8">
        <v>3167.88</v>
      </c>
      <c r="Q29" s="9">
        <v>6980.16</v>
      </c>
      <c r="R29" s="17">
        <v>4031.69</v>
      </c>
      <c r="S29" s="19">
        <v>3000</v>
      </c>
      <c r="T29" s="19">
        <v>3383.85</v>
      </c>
      <c r="U29" s="8">
        <v>3000</v>
      </c>
      <c r="V29" s="8">
        <v>3173.17</v>
      </c>
      <c r="W29" s="19">
        <v>3120.39</v>
      </c>
      <c r="X29" s="8">
        <v>6574.45</v>
      </c>
      <c r="Y29" s="8">
        <v>11299.45</v>
      </c>
      <c r="Z29" s="8">
        <v>6109.28</v>
      </c>
      <c r="AA29" s="8">
        <v>5610.89</v>
      </c>
      <c r="AB29" s="8">
        <v>7673.98</v>
      </c>
      <c r="AC29" s="8">
        <v>6528.67</v>
      </c>
      <c r="AD29" s="8">
        <v>7292.73</v>
      </c>
      <c r="AE29" s="8">
        <v>7207.26</v>
      </c>
      <c r="AF29" s="8">
        <v>8978</v>
      </c>
      <c r="AG29" s="8">
        <v>8018.49</v>
      </c>
      <c r="AH29" s="8">
        <v>17343.86</v>
      </c>
      <c r="AI29" s="8">
        <v>8421.93</v>
      </c>
      <c r="AJ29" s="8">
        <v>7397.77</v>
      </c>
      <c r="AK29" s="8">
        <v>7261.31</v>
      </c>
      <c r="AL29" s="8">
        <v>9416.01</v>
      </c>
      <c r="AM29" s="8">
        <v>6114.23</v>
      </c>
      <c r="AN29" s="8">
        <v>18925.47</v>
      </c>
      <c r="AO29" s="8">
        <v>-1302.99</v>
      </c>
      <c r="AP29" s="8">
        <v>-500</v>
      </c>
      <c r="AQ29" s="8">
        <v>18122.48</v>
      </c>
      <c r="AR29" s="8">
        <v>-500</v>
      </c>
      <c r="AS29" s="8">
        <v>10989.73</v>
      </c>
      <c r="AT29" s="8">
        <v>22012.68</v>
      </c>
      <c r="AU29" s="8">
        <v>10756.34</v>
      </c>
      <c r="AV29" s="8">
        <v>18756.38</v>
      </c>
      <c r="AW29" s="8">
        <v>18750</v>
      </c>
      <c r="AX29" s="8">
        <v>8887.09</v>
      </c>
      <c r="AY29" s="8">
        <v>13117.15</v>
      </c>
      <c r="AZ29" s="8">
        <v>12316.2</v>
      </c>
      <c r="BA29" s="8">
        <v>12029.83</v>
      </c>
      <c r="BB29" s="8">
        <v>12029.83</v>
      </c>
      <c r="BC29" s="8">
        <v>12000</v>
      </c>
      <c r="BD29" s="8">
        <v>12377.19</v>
      </c>
      <c r="BE29" s="8">
        <v>12148.28</v>
      </c>
      <c r="BF29" s="36">
        <f t="shared" si="39"/>
        <v>94905.57</v>
      </c>
      <c r="BG29" s="36">
        <f t="shared" si="40"/>
        <v>131540.32999999999</v>
      </c>
      <c r="BH29" s="36">
        <f t="shared" si="41"/>
        <v>97844.17</v>
      </c>
      <c r="BI29" s="36">
        <f t="shared" si="42"/>
        <v>50816.739999999991</v>
      </c>
      <c r="BJ29" s="31">
        <f t="shared" si="43"/>
        <v>60585.130000000005</v>
      </c>
      <c r="BK29" s="31">
        <f t="shared" si="44"/>
        <v>131405.06</v>
      </c>
      <c r="BL29" s="31">
        <f t="shared" si="45"/>
        <v>112905.73</v>
      </c>
      <c r="BM29" s="31">
        <f>SUM(Q29:AB29)</f>
        <v>63957.31</v>
      </c>
      <c r="BN29" s="31">
        <f>SUM(E29:P29)</f>
        <v>29682.170000000002</v>
      </c>
      <c r="BO29" s="31">
        <f>SUM(B29:D29)</f>
        <v>6962.49</v>
      </c>
      <c r="BP29" s="7"/>
      <c r="BQ29" s="7"/>
    </row>
    <row r="30" spans="1:69" ht="14.4" x14ac:dyDescent="0.3">
      <c r="A30" s="1" t="s">
        <v>34</v>
      </c>
      <c r="B30" s="8">
        <v>2281.52</v>
      </c>
      <c r="C30" s="8">
        <v>2281.52</v>
      </c>
      <c r="D30" s="8">
        <v>2281.52</v>
      </c>
      <c r="E30" s="8">
        <v>2305.61</v>
      </c>
      <c r="F30" s="8">
        <v>2319.3200000000002</v>
      </c>
      <c r="G30" s="8">
        <v>2319.3200000000002</v>
      </c>
      <c r="H30" s="8">
        <v>2601.3200000000002</v>
      </c>
      <c r="I30" s="8">
        <v>2601.3200000000002</v>
      </c>
      <c r="J30" s="8">
        <v>3063.14</v>
      </c>
      <c r="K30" s="8">
        <v>3139.32</v>
      </c>
      <c r="L30" s="8">
        <v>3124.32</v>
      </c>
      <c r="M30" s="8">
        <v>3124.32</v>
      </c>
      <c r="N30" s="8">
        <v>3500.32</v>
      </c>
      <c r="O30" s="8">
        <v>3684.52</v>
      </c>
      <c r="P30" s="8">
        <v>3568.63</v>
      </c>
      <c r="Q30" s="9">
        <v>3180.8</v>
      </c>
      <c r="R30" s="10">
        <v>3214.24</v>
      </c>
      <c r="S30" s="10">
        <v>3250.24</v>
      </c>
      <c r="T30" s="10">
        <v>3272.8</v>
      </c>
      <c r="U30" s="8">
        <v>3429.32</v>
      </c>
      <c r="V30" s="8">
        <v>3704.28</v>
      </c>
      <c r="W30" s="10">
        <v>3706.46</v>
      </c>
      <c r="X30" s="8">
        <v>3706.46</v>
      </c>
      <c r="Y30" s="8">
        <v>3986.46</v>
      </c>
      <c r="Z30" s="8">
        <v>4400.37</v>
      </c>
      <c r="AA30" s="8">
        <v>4574.28</v>
      </c>
      <c r="AB30" s="8">
        <v>4574.28</v>
      </c>
      <c r="AC30" s="8">
        <v>4894.28</v>
      </c>
      <c r="AD30" s="8">
        <v>4970.2</v>
      </c>
      <c r="AE30" s="8">
        <v>5636.84</v>
      </c>
      <c r="AF30" s="8">
        <v>5636.84</v>
      </c>
      <c r="AG30" s="8">
        <v>5555.71</v>
      </c>
      <c r="AH30" s="8">
        <v>6179.07</v>
      </c>
      <c r="AI30" s="8">
        <v>2940.67</v>
      </c>
      <c r="AJ30" s="8">
        <v>5985.19</v>
      </c>
      <c r="AK30" s="8">
        <v>5985.19</v>
      </c>
      <c r="AL30" s="8">
        <v>6359.21</v>
      </c>
      <c r="AM30" s="8">
        <v>6942.58</v>
      </c>
      <c r="AN30" s="8">
        <v>6942.58</v>
      </c>
      <c r="AO30" s="8">
        <v>6942.58</v>
      </c>
      <c r="AP30" s="8">
        <v>6942.58</v>
      </c>
      <c r="AQ30" s="8">
        <v>7142.8</v>
      </c>
      <c r="AR30" s="8">
        <v>7676.82</v>
      </c>
      <c r="AS30" s="8">
        <v>7733.6</v>
      </c>
      <c r="AT30" s="8">
        <v>8547.0499999999993</v>
      </c>
      <c r="AU30" s="8">
        <v>8703.57</v>
      </c>
      <c r="AV30" s="8">
        <v>8890.25</v>
      </c>
      <c r="AW30" s="8">
        <v>8782.2099999999991</v>
      </c>
      <c r="AX30" s="8">
        <v>9249.0300000000007</v>
      </c>
      <c r="AY30" s="8">
        <v>9249.0300000000007</v>
      </c>
      <c r="AZ30" s="8">
        <v>9285.0400000000009</v>
      </c>
      <c r="BA30" s="8">
        <v>9249.0300000000007</v>
      </c>
      <c r="BB30" s="8">
        <v>9249.0300000000007</v>
      </c>
      <c r="BC30" s="8">
        <v>9249.0300000000007</v>
      </c>
      <c r="BD30" s="8">
        <v>9473.11</v>
      </c>
      <c r="BE30" s="8">
        <v>9384.4699999999993</v>
      </c>
      <c r="BF30" s="36">
        <f t="shared" si="39"/>
        <v>74387.77</v>
      </c>
      <c r="BG30" s="36">
        <f t="shared" si="40"/>
        <v>91605.829999999987</v>
      </c>
      <c r="BH30" s="36">
        <f t="shared" si="41"/>
        <v>61332.92</v>
      </c>
      <c r="BI30" s="36">
        <f t="shared" si="42"/>
        <v>42204.53</v>
      </c>
      <c r="BJ30" s="31">
        <f t="shared" si="43"/>
        <v>46604.670000000006</v>
      </c>
      <c r="BK30" s="31">
        <f t="shared" si="44"/>
        <v>99144.56</v>
      </c>
      <c r="BL30" s="31">
        <f t="shared" si="45"/>
        <v>68028.36</v>
      </c>
      <c r="BM30" s="31">
        <f>SUM(Q30:AB30)</f>
        <v>44999.989999999991</v>
      </c>
      <c r="BN30" s="31">
        <f>SUM(E30:P30)</f>
        <v>35351.46</v>
      </c>
      <c r="BO30" s="31">
        <f>SUM(B30:D30)</f>
        <v>6844.5599999999995</v>
      </c>
      <c r="BP30" s="7"/>
      <c r="BQ30" s="7"/>
    </row>
    <row r="31" spans="1:69" ht="14.4" x14ac:dyDescent="0.3">
      <c r="A31" s="1" t="s">
        <v>111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10"/>
      <c r="S31" s="10"/>
      <c r="T31" s="10"/>
      <c r="U31" s="8"/>
      <c r="V31" s="8"/>
      <c r="W31" s="10"/>
      <c r="X31" s="8"/>
      <c r="Y31" s="8"/>
      <c r="Z31" s="8"/>
      <c r="AA31" s="8"/>
      <c r="AB31" s="8"/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2800</v>
      </c>
      <c r="AL31" s="8">
        <v>2800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 t="s">
        <v>133</v>
      </c>
      <c r="BB31" s="8"/>
      <c r="BC31" s="8"/>
      <c r="BD31" s="8"/>
      <c r="BE31" s="8"/>
      <c r="BF31" s="36">
        <f t="shared" si="39"/>
        <v>0</v>
      </c>
      <c r="BG31" s="36">
        <f t="shared" si="40"/>
        <v>2800</v>
      </c>
      <c r="BH31" s="36">
        <f t="shared" si="41"/>
        <v>2800</v>
      </c>
      <c r="BI31" s="36">
        <f t="shared" si="42"/>
        <v>0</v>
      </c>
      <c r="BJ31" s="31">
        <f t="shared" si="43"/>
        <v>0</v>
      </c>
      <c r="BK31" s="31">
        <f t="shared" si="44"/>
        <v>0</v>
      </c>
      <c r="BL31" s="31">
        <f t="shared" si="45"/>
        <v>5600</v>
      </c>
      <c r="BM31" s="31">
        <f>SUM(Q31:AB31)</f>
        <v>0</v>
      </c>
      <c r="BN31" s="31">
        <f>SUM(E31:P31)</f>
        <v>0</v>
      </c>
      <c r="BO31" s="31">
        <f>SUM(B31:D31)</f>
        <v>0</v>
      </c>
      <c r="BP31" s="7"/>
      <c r="BQ31" s="7"/>
    </row>
    <row r="32" spans="1:69" ht="14.4" x14ac:dyDescent="0.3">
      <c r="A32" s="47" t="s">
        <v>121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10"/>
      <c r="S32" s="10"/>
      <c r="T32" s="10"/>
      <c r="U32" s="8"/>
      <c r="V32" s="8"/>
      <c r="W32" s="10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3049.52</v>
      </c>
      <c r="AX32" s="8">
        <v>0</v>
      </c>
      <c r="AY32" s="8">
        <v>0</v>
      </c>
      <c r="AZ32" s="8">
        <v>0</v>
      </c>
      <c r="BA32" s="8" t="s">
        <v>133</v>
      </c>
      <c r="BB32" s="8"/>
      <c r="BC32" s="8"/>
      <c r="BD32" s="8"/>
      <c r="BE32" s="8"/>
      <c r="BF32" s="36">
        <f t="shared" si="39"/>
        <v>0</v>
      </c>
      <c r="BG32" s="36">
        <f t="shared" si="40"/>
        <v>3049.52</v>
      </c>
      <c r="BH32" s="36">
        <f t="shared" si="41"/>
        <v>0</v>
      </c>
      <c r="BI32" s="36"/>
      <c r="BJ32" s="31">
        <f t="shared" si="43"/>
        <v>0</v>
      </c>
      <c r="BK32" s="31">
        <f t="shared" si="44"/>
        <v>3049.52</v>
      </c>
      <c r="BL32" s="31">
        <f t="shared" si="45"/>
        <v>0</v>
      </c>
      <c r="BM32" s="31"/>
      <c r="BN32" s="31"/>
      <c r="BO32" s="31"/>
      <c r="BP32" s="7"/>
      <c r="BQ32" s="7"/>
    </row>
    <row r="33" spans="1:69" ht="14.4" x14ac:dyDescent="0.3">
      <c r="A33" s="1" t="s">
        <v>35</v>
      </c>
      <c r="B33" s="8">
        <v>5264.81</v>
      </c>
      <c r="C33" s="8">
        <v>5264.81</v>
      </c>
      <c r="D33" s="8">
        <v>5264.81</v>
      </c>
      <c r="E33" s="8">
        <v>5288.69</v>
      </c>
      <c r="F33" s="8">
        <v>4878.6499999999996</v>
      </c>
      <c r="G33" s="8">
        <v>7218.42</v>
      </c>
      <c r="H33" s="8">
        <v>5575.38</v>
      </c>
      <c r="I33" s="8">
        <v>5575.38</v>
      </c>
      <c r="J33" s="8">
        <v>6631.67</v>
      </c>
      <c r="K33" s="8">
        <v>6692.53</v>
      </c>
      <c r="L33" s="8">
        <v>6662.1</v>
      </c>
      <c r="M33" s="8">
        <v>7708.16</v>
      </c>
      <c r="N33" s="8">
        <v>8004.33</v>
      </c>
      <c r="O33" s="8">
        <v>8198.0300000000007</v>
      </c>
      <c r="P33" s="8">
        <v>8052.55</v>
      </c>
      <c r="Q33" s="9">
        <v>7345.49</v>
      </c>
      <c r="R33" s="10">
        <v>7191.58</v>
      </c>
      <c r="S33" s="10">
        <v>11591.22</v>
      </c>
      <c r="T33" s="10">
        <v>7594.72</v>
      </c>
      <c r="U33" s="8">
        <v>8012.44</v>
      </c>
      <c r="V33" s="8">
        <v>8499.19</v>
      </c>
      <c r="W33" s="10">
        <v>8496.48</v>
      </c>
      <c r="X33" s="8">
        <v>8496.48</v>
      </c>
      <c r="Y33" s="8">
        <v>11807.84</v>
      </c>
      <c r="Z33" s="8">
        <v>10356.82</v>
      </c>
      <c r="AA33" s="8">
        <v>10823.79</v>
      </c>
      <c r="AB33" s="8">
        <v>10823.79</v>
      </c>
      <c r="AC33" s="8">
        <v>9449.19</v>
      </c>
      <c r="AD33" s="8">
        <v>11124.54</v>
      </c>
      <c r="AE33" s="8">
        <v>12406.66</v>
      </c>
      <c r="AF33" s="8">
        <v>10572.09</v>
      </c>
      <c r="AG33" s="8">
        <v>19763.04</v>
      </c>
      <c r="AH33" s="8">
        <v>13564.39</v>
      </c>
      <c r="AI33" s="8">
        <v>13818.92</v>
      </c>
      <c r="AJ33" s="8">
        <v>13738.45</v>
      </c>
      <c r="AK33" s="8">
        <v>18827.09</v>
      </c>
      <c r="AL33" s="8">
        <v>13242.98</v>
      </c>
      <c r="AM33" s="8">
        <v>15680.76</v>
      </c>
      <c r="AN33" s="8">
        <v>15680.76</v>
      </c>
      <c r="AO33" s="8">
        <v>15467.81</v>
      </c>
      <c r="AP33" s="8">
        <v>15467.81</v>
      </c>
      <c r="AQ33" s="8">
        <v>28873.8</v>
      </c>
      <c r="AR33" s="8">
        <v>18031.72</v>
      </c>
      <c r="AS33" s="8">
        <v>17780.98</v>
      </c>
      <c r="AT33" s="8">
        <v>18745.18</v>
      </c>
      <c r="AU33" s="8">
        <v>19170.91</v>
      </c>
      <c r="AV33" s="8">
        <v>19548.75</v>
      </c>
      <c r="AW33" s="8">
        <v>26345.73</v>
      </c>
      <c r="AX33" s="8">
        <v>19665.7</v>
      </c>
      <c r="AY33" s="8">
        <v>19216.150000000001</v>
      </c>
      <c r="AZ33" s="8">
        <v>19257.03</v>
      </c>
      <c r="BA33" s="8">
        <v>19016.05</v>
      </c>
      <c r="BB33" s="8">
        <v>19016.05</v>
      </c>
      <c r="BC33" s="8">
        <v>19016.05</v>
      </c>
      <c r="BD33" s="8">
        <v>38953.96</v>
      </c>
      <c r="BE33" s="8">
        <v>19562.45</v>
      </c>
      <c r="BF33" s="36">
        <f t="shared" si="39"/>
        <v>173703.44000000003</v>
      </c>
      <c r="BG33" s="36">
        <f t="shared" si="40"/>
        <v>224037.19</v>
      </c>
      <c r="BH33" s="36">
        <f t="shared" si="41"/>
        <v>155268.77000000002</v>
      </c>
      <c r="BI33" s="36">
        <f>SUM(N33:Y33)</f>
        <v>103290.34999999999</v>
      </c>
      <c r="BJ33" s="31">
        <f t="shared" si="43"/>
        <v>115564.55999999998</v>
      </c>
      <c r="BK33" s="31">
        <f t="shared" si="44"/>
        <v>237571.57</v>
      </c>
      <c r="BL33" s="31">
        <f t="shared" si="45"/>
        <v>167868.87000000002</v>
      </c>
      <c r="BM33" s="31">
        <f>SUM(Q33:AB33)</f>
        <v>111039.84000000003</v>
      </c>
      <c r="BN33" s="31">
        <f>SUM(E33:P33)</f>
        <v>80485.89</v>
      </c>
      <c r="BO33" s="31">
        <f>SUM(B33:D33)</f>
        <v>15794.43</v>
      </c>
      <c r="BP33" s="7"/>
      <c r="BQ33" s="7"/>
    </row>
    <row r="34" spans="1:69" ht="14.4" x14ac:dyDescent="0.3">
      <c r="A34" s="1" t="s">
        <v>36</v>
      </c>
      <c r="O34" s="8">
        <v>5000</v>
      </c>
      <c r="Q34" s="16"/>
      <c r="S34" s="11">
        <v>10500</v>
      </c>
      <c r="T34" s="11">
        <v>1210</v>
      </c>
      <c r="W34" s="11"/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3652.07</v>
      </c>
      <c r="AS34" s="8">
        <v>4079.47</v>
      </c>
      <c r="AT34" s="8">
        <v>20432.900000000001</v>
      </c>
      <c r="AU34" s="8">
        <v>-23888</v>
      </c>
      <c r="AV34" s="8">
        <v>0</v>
      </c>
      <c r="AW34" s="8">
        <v>3219.99</v>
      </c>
      <c r="AX34" s="8">
        <v>1914.89</v>
      </c>
      <c r="AY34" s="8">
        <v>243.2</v>
      </c>
      <c r="AZ34" s="8">
        <v>11540.47</v>
      </c>
      <c r="BA34" s="8">
        <v>753.08</v>
      </c>
      <c r="BB34" s="8">
        <v>5813.69</v>
      </c>
      <c r="BC34" s="8">
        <v>12148.38</v>
      </c>
      <c r="BD34" s="8">
        <v>1778.97</v>
      </c>
      <c r="BE34" s="8">
        <v>2653.98</v>
      </c>
      <c r="BF34" s="36">
        <f t="shared" si="39"/>
        <v>36846.660000000003</v>
      </c>
      <c r="BG34" s="36">
        <f t="shared" si="40"/>
        <v>7496.4300000000021</v>
      </c>
      <c r="BH34" s="35"/>
      <c r="BI34" s="35">
        <f>SUM(N34:Y34)</f>
        <v>16710</v>
      </c>
      <c r="BJ34" s="31">
        <f t="shared" si="43"/>
        <v>23148.1</v>
      </c>
      <c r="BK34" s="31">
        <f t="shared" si="44"/>
        <v>21194.99</v>
      </c>
      <c r="BL34" s="31">
        <f t="shared" si="45"/>
        <v>0</v>
      </c>
      <c r="BM34" s="31">
        <f>SUM(Q34:AB34)</f>
        <v>11710</v>
      </c>
      <c r="BN34" s="31">
        <f>SUM(E34:P34)</f>
        <v>5000</v>
      </c>
      <c r="BO34" s="31">
        <f>SUM(B34:D34)</f>
        <v>0</v>
      </c>
      <c r="BP34" s="7"/>
      <c r="BQ34" s="7"/>
    </row>
    <row r="35" spans="1:69" ht="14.4" x14ac:dyDescent="0.3">
      <c r="A35" s="1" t="s">
        <v>108</v>
      </c>
      <c r="O35" s="8"/>
      <c r="Q35" s="16"/>
      <c r="S35" s="11"/>
      <c r="T35" s="11"/>
      <c r="W35" s="11"/>
      <c r="AC35" s="8">
        <v>0</v>
      </c>
      <c r="AD35" s="8">
        <v>302.17</v>
      </c>
      <c r="AE35" s="8">
        <v>157.07</v>
      </c>
      <c r="AF35" s="8">
        <v>1262.32</v>
      </c>
      <c r="AG35" s="8">
        <v>391.83</v>
      </c>
      <c r="AH35" s="8">
        <v>501.2</v>
      </c>
      <c r="AI35" s="8">
        <v>340.1</v>
      </c>
      <c r="AJ35" s="8">
        <v>639.85</v>
      </c>
      <c r="AK35" s="8">
        <v>523.19000000000005</v>
      </c>
      <c r="AL35" s="8">
        <v>2735.37</v>
      </c>
      <c r="AM35" s="8">
        <v>618.73</v>
      </c>
      <c r="AN35" s="8">
        <v>614.78</v>
      </c>
      <c r="AO35" s="8">
        <v>772.28</v>
      </c>
      <c r="AP35" s="8">
        <v>667.3</v>
      </c>
      <c r="AQ35" s="8">
        <v>345.21</v>
      </c>
      <c r="AR35" s="8">
        <v>680.62</v>
      </c>
      <c r="AS35" s="8">
        <v>5851.72</v>
      </c>
      <c r="AT35" s="8">
        <v>1037.94</v>
      </c>
      <c r="AU35" s="8">
        <v>1304.46</v>
      </c>
      <c r="AV35" s="8">
        <v>707.44</v>
      </c>
      <c r="AW35" s="8">
        <v>5982.46</v>
      </c>
      <c r="AX35" s="8">
        <v>588.73</v>
      </c>
      <c r="AY35" s="8">
        <v>628.25</v>
      </c>
      <c r="AZ35" s="8">
        <v>860.38</v>
      </c>
      <c r="BA35" s="8">
        <v>418.08</v>
      </c>
      <c r="BB35" s="8">
        <v>735.83</v>
      </c>
      <c r="BC35" s="8">
        <v>201.59</v>
      </c>
      <c r="BD35" s="8">
        <v>300.44</v>
      </c>
      <c r="BE35" s="8">
        <v>496.11</v>
      </c>
      <c r="BF35" s="36">
        <f t="shared" si="39"/>
        <v>4229.41</v>
      </c>
      <c r="BG35" s="36">
        <f t="shared" si="40"/>
        <v>21318.31</v>
      </c>
      <c r="BH35" s="38">
        <f>SUM(Z35:AK35)</f>
        <v>4117.7299999999996</v>
      </c>
      <c r="BI35" s="35"/>
      <c r="BJ35" s="31">
        <f t="shared" si="43"/>
        <v>2152.0500000000002</v>
      </c>
      <c r="BK35" s="31">
        <f t="shared" si="44"/>
        <v>19426.790000000005</v>
      </c>
      <c r="BL35" s="31">
        <f t="shared" si="45"/>
        <v>8086.61</v>
      </c>
      <c r="BM35" s="31"/>
      <c r="BN35" s="31"/>
      <c r="BO35" s="31"/>
      <c r="BP35" s="7"/>
      <c r="BQ35" s="7"/>
    </row>
    <row r="36" spans="1:69" ht="14.4" x14ac:dyDescent="0.3">
      <c r="A36" s="1" t="s">
        <v>37</v>
      </c>
      <c r="B36" s="8">
        <v>456.3</v>
      </c>
      <c r="C36" s="8">
        <v>456.3</v>
      </c>
      <c r="D36" s="8">
        <v>456.3</v>
      </c>
      <c r="E36" s="8">
        <v>461.12</v>
      </c>
      <c r="F36" s="8">
        <v>461.12</v>
      </c>
      <c r="G36" s="8">
        <v>461.12</v>
      </c>
      <c r="H36" s="8">
        <v>461.12</v>
      </c>
      <c r="I36" s="8">
        <v>461.12</v>
      </c>
      <c r="J36" s="8">
        <v>461.12</v>
      </c>
      <c r="K36" s="8">
        <v>461.12</v>
      </c>
      <c r="L36" s="8">
        <v>461.12</v>
      </c>
      <c r="M36" s="8">
        <v>461.12</v>
      </c>
      <c r="N36" s="8">
        <v>461.12</v>
      </c>
      <c r="O36" s="8">
        <v>461.12</v>
      </c>
      <c r="P36" s="8">
        <v>461.12</v>
      </c>
      <c r="Q36" s="9">
        <v>461.12</v>
      </c>
      <c r="R36" s="10">
        <v>461.12</v>
      </c>
      <c r="S36" s="10">
        <v>461.12</v>
      </c>
      <c r="T36" s="10">
        <v>461.12</v>
      </c>
      <c r="U36" s="8">
        <v>461.12</v>
      </c>
      <c r="V36" s="8">
        <v>461.12</v>
      </c>
      <c r="W36" s="10">
        <v>461.12</v>
      </c>
      <c r="X36" s="8">
        <v>461.12</v>
      </c>
      <c r="Y36" s="8">
        <v>461.12</v>
      </c>
      <c r="Z36" s="8">
        <v>461.12</v>
      </c>
      <c r="AA36" s="8">
        <v>461.12</v>
      </c>
      <c r="AB36" s="8">
        <v>-9264.86</v>
      </c>
      <c r="AC36" s="8">
        <v>978.86</v>
      </c>
      <c r="AD36" s="8">
        <v>994.04</v>
      </c>
      <c r="AE36" s="8">
        <v>1127.3699999999999</v>
      </c>
      <c r="AF36" s="8">
        <v>1127.3699999999999</v>
      </c>
      <c r="AG36" s="8">
        <v>1111.1400000000001</v>
      </c>
      <c r="AH36" s="8">
        <v>1235.82</v>
      </c>
      <c r="AI36" s="8">
        <v>1254.78</v>
      </c>
      <c r="AJ36" s="8">
        <v>1197.04</v>
      </c>
      <c r="AK36" s="8">
        <v>1197.04</v>
      </c>
      <c r="AL36" s="8">
        <v>1255.1400000000001</v>
      </c>
      <c r="AM36" s="8">
        <v>1456.18</v>
      </c>
      <c r="AN36" s="8">
        <v>1388.52</v>
      </c>
      <c r="AO36" s="8">
        <v>1388.51</v>
      </c>
      <c r="AP36" s="8">
        <v>1388.51</v>
      </c>
      <c r="AQ36" s="8">
        <v>1428</v>
      </c>
      <c r="AR36" s="8">
        <v>1535.36</v>
      </c>
      <c r="AS36" s="8">
        <v>1546.72</v>
      </c>
      <c r="AT36" s="8">
        <v>1709.41</v>
      </c>
      <c r="AU36" s="8">
        <v>1709.41</v>
      </c>
      <c r="AV36" s="8">
        <v>1778.05</v>
      </c>
      <c r="AW36" s="8">
        <v>1778.05</v>
      </c>
      <c r="AX36" s="8">
        <v>1849.81</v>
      </c>
      <c r="AY36" s="8">
        <v>1849.81</v>
      </c>
      <c r="AZ36" s="8">
        <v>1849.81</v>
      </c>
      <c r="BA36" s="8">
        <v>1849.81</v>
      </c>
      <c r="BB36" s="8">
        <v>1849.81</v>
      </c>
      <c r="BC36" s="8">
        <v>1849.81</v>
      </c>
      <c r="BD36" s="8">
        <v>1876.89</v>
      </c>
      <c r="BE36" s="8">
        <v>1876.89</v>
      </c>
      <c r="BF36" s="36">
        <f t="shared" si="39"/>
        <v>14852.639999999998</v>
      </c>
      <c r="BG36" s="36">
        <f t="shared" si="40"/>
        <v>18361.86</v>
      </c>
      <c r="BH36" s="36">
        <f>SUM(Z36:AK36)</f>
        <v>1880.8399999999988</v>
      </c>
      <c r="BI36" s="36">
        <f t="shared" ref="BI36:BI45" si="46">SUM(N36:Y36)</f>
        <v>5533.44</v>
      </c>
      <c r="BJ36" s="31">
        <f t="shared" si="43"/>
        <v>9303.2100000000009</v>
      </c>
      <c r="BK36" s="31">
        <f t="shared" si="44"/>
        <v>19811.45</v>
      </c>
      <c r="BL36" s="31">
        <f t="shared" si="45"/>
        <v>14323.3</v>
      </c>
      <c r="BM36" s="31">
        <f t="shared" ref="BM36:BM45" si="47">SUM(Q36:AB36)</f>
        <v>-4192.5400000000009</v>
      </c>
      <c r="BN36" s="31">
        <f t="shared" ref="BN36:BN45" si="48">SUM(E36:P36)</f>
        <v>5533.44</v>
      </c>
      <c r="BO36" s="31">
        <f t="shared" ref="BO36:BO45" si="49">SUM(B36:D36)</f>
        <v>1368.9</v>
      </c>
      <c r="BP36" s="7"/>
      <c r="BQ36" s="7"/>
    </row>
    <row r="37" spans="1:69" ht="14.4" x14ac:dyDescent="0.3">
      <c r="A37" s="1" t="s">
        <v>38</v>
      </c>
      <c r="D37" s="8">
        <v>0</v>
      </c>
      <c r="F37" s="8">
        <v>31041.33</v>
      </c>
      <c r="G37" s="8">
        <v>31041.33</v>
      </c>
      <c r="H37" s="8">
        <v>31041.33</v>
      </c>
      <c r="I37" s="8">
        <v>31041.33</v>
      </c>
      <c r="J37" s="8">
        <v>31041.33</v>
      </c>
      <c r="K37" s="8">
        <v>31041.33</v>
      </c>
      <c r="L37" s="8">
        <v>31041.33</v>
      </c>
      <c r="M37" s="8">
        <v>31041.33</v>
      </c>
      <c r="N37" s="8">
        <v>31041.33</v>
      </c>
      <c r="O37" s="8">
        <v>31041.33</v>
      </c>
      <c r="P37" s="8">
        <v>31041.33</v>
      </c>
      <c r="Q37" s="9">
        <v>31041.33</v>
      </c>
      <c r="R37" s="17">
        <v>31041.33</v>
      </c>
      <c r="S37" s="19">
        <v>31041.33</v>
      </c>
      <c r="T37" s="19">
        <v>31041.33</v>
      </c>
      <c r="U37" s="8">
        <v>31041.33</v>
      </c>
      <c r="V37" s="8">
        <v>31041.33</v>
      </c>
      <c r="W37" s="19">
        <v>31041.33</v>
      </c>
      <c r="X37" s="8">
        <v>31041.33</v>
      </c>
      <c r="Y37" s="8">
        <v>31041.33</v>
      </c>
      <c r="Z37" s="8">
        <v>31041.33</v>
      </c>
      <c r="AA37" s="8">
        <v>31041.33</v>
      </c>
      <c r="AB37" s="8">
        <v>31041.33</v>
      </c>
      <c r="AC37" s="8">
        <v>31041.33</v>
      </c>
      <c r="AD37" s="8">
        <v>31041.33</v>
      </c>
      <c r="AE37" s="8">
        <v>31041.33</v>
      </c>
      <c r="AF37" s="8">
        <v>31041.33</v>
      </c>
      <c r="AG37" s="8">
        <v>31041.33</v>
      </c>
      <c r="AH37" s="8">
        <v>31041.33</v>
      </c>
      <c r="AI37" s="8">
        <v>31041.33</v>
      </c>
      <c r="AJ37" s="8">
        <v>31041.33</v>
      </c>
      <c r="AK37" s="8">
        <v>31041.33</v>
      </c>
      <c r="AL37" s="8">
        <v>31041.33</v>
      </c>
      <c r="AM37" s="8">
        <v>31041.33</v>
      </c>
      <c r="AN37" s="8">
        <v>31041.33</v>
      </c>
      <c r="AO37" s="8">
        <v>31041.33</v>
      </c>
      <c r="AP37" s="8">
        <v>33009.33</v>
      </c>
      <c r="AQ37" s="8">
        <v>31533.33</v>
      </c>
      <c r="AR37" s="8">
        <v>31533.33</v>
      </c>
      <c r="AS37" s="8">
        <v>31533.33</v>
      </c>
      <c r="AT37" s="8">
        <v>31533.33</v>
      </c>
      <c r="AU37" s="8">
        <v>31533.33</v>
      </c>
      <c r="AV37" s="8">
        <v>31533.33</v>
      </c>
      <c r="AW37" s="8">
        <v>31533.33</v>
      </c>
      <c r="AX37" s="8">
        <v>31533.33</v>
      </c>
      <c r="AY37" s="8">
        <v>31533.33</v>
      </c>
      <c r="AZ37" s="8">
        <v>31533.33</v>
      </c>
      <c r="BA37" s="8">
        <v>37731</v>
      </c>
      <c r="BB37" s="8">
        <v>37731</v>
      </c>
      <c r="BC37" s="8">
        <v>37731</v>
      </c>
      <c r="BD37" s="8">
        <v>37731</v>
      </c>
      <c r="BE37" s="8">
        <v>37731</v>
      </c>
      <c r="BF37" s="36">
        <f t="shared" si="39"/>
        <v>283254.99</v>
      </c>
      <c r="BG37" s="36">
        <f t="shared" si="40"/>
        <v>377907.96000000014</v>
      </c>
      <c r="BH37" s="36">
        <f>SUM(Z37:AK37)</f>
        <v>372495.96000000014</v>
      </c>
      <c r="BI37" s="36">
        <f t="shared" si="46"/>
        <v>372495.96000000014</v>
      </c>
      <c r="BJ37" s="31">
        <f t="shared" si="43"/>
        <v>188655</v>
      </c>
      <c r="BK37" s="31">
        <f t="shared" si="44"/>
        <v>379383.96000000014</v>
      </c>
      <c r="BL37" s="31">
        <f t="shared" si="45"/>
        <v>372495.96000000014</v>
      </c>
      <c r="BM37" s="31">
        <f t="shared" si="47"/>
        <v>372495.96000000014</v>
      </c>
      <c r="BN37" s="31">
        <f t="shared" si="48"/>
        <v>341454.63000000012</v>
      </c>
      <c r="BO37" s="31">
        <f t="shared" si="49"/>
        <v>0</v>
      </c>
      <c r="BP37" s="7"/>
      <c r="BQ37" s="7"/>
    </row>
    <row r="38" spans="1:69" ht="14.4" x14ac:dyDescent="0.3">
      <c r="A38" s="1" t="s">
        <v>39</v>
      </c>
      <c r="B38" s="8">
        <v>2000.98</v>
      </c>
      <c r="C38" s="8">
        <v>2000.98</v>
      </c>
      <c r="D38" s="8">
        <v>2000.99</v>
      </c>
      <c r="F38" s="8">
        <v>4001.97</v>
      </c>
      <c r="G38" s="8">
        <v>2001.98</v>
      </c>
      <c r="H38" s="8">
        <v>2001.98</v>
      </c>
      <c r="I38" s="8">
        <v>2001.98</v>
      </c>
      <c r="J38" s="8">
        <v>2001.98</v>
      </c>
      <c r="K38" s="8">
        <v>2001.98</v>
      </c>
      <c r="L38" s="8">
        <v>2001.98</v>
      </c>
      <c r="M38" s="8">
        <v>2001.98</v>
      </c>
      <c r="N38" s="8">
        <v>2001.98</v>
      </c>
      <c r="O38" s="8">
        <v>2001.98</v>
      </c>
      <c r="P38" s="8">
        <v>2001.98</v>
      </c>
      <c r="Q38" s="9">
        <v>2001.98</v>
      </c>
      <c r="R38" s="10">
        <v>2001.98</v>
      </c>
      <c r="S38" s="10">
        <v>2001.98</v>
      </c>
      <c r="T38" s="10">
        <v>2001.98</v>
      </c>
      <c r="U38" s="8">
        <v>2001.98</v>
      </c>
      <c r="V38" s="8">
        <v>2001.98</v>
      </c>
      <c r="W38" s="10">
        <v>2001.98</v>
      </c>
      <c r="X38" s="8">
        <v>2001.98</v>
      </c>
      <c r="Y38" s="8">
        <v>2001.98</v>
      </c>
      <c r="Z38" s="8">
        <v>2001.98</v>
      </c>
      <c r="AA38" s="8">
        <v>2001.98</v>
      </c>
      <c r="AB38" s="8">
        <v>2001.98</v>
      </c>
      <c r="AC38" s="8">
        <v>2001.98</v>
      </c>
      <c r="AD38" s="8">
        <v>2001.98</v>
      </c>
      <c r="AE38" s="8">
        <v>2001.98</v>
      </c>
      <c r="AF38" s="8">
        <v>2001.98</v>
      </c>
      <c r="AG38" s="8">
        <v>2001.98</v>
      </c>
      <c r="AH38" s="8">
        <v>2001.98</v>
      </c>
      <c r="AI38" s="8">
        <v>2001.98</v>
      </c>
      <c r="AJ38" s="8">
        <v>2001.98</v>
      </c>
      <c r="AK38" s="8">
        <v>2001.98</v>
      </c>
      <c r="AL38" s="8">
        <v>2001.98</v>
      </c>
      <c r="AM38" s="8">
        <v>2001.98</v>
      </c>
      <c r="AN38" s="8">
        <v>2001.98</v>
      </c>
      <c r="AO38" s="8">
        <v>2001.98</v>
      </c>
      <c r="AP38" s="8">
        <v>2001.98</v>
      </c>
      <c r="AQ38" s="8">
        <v>2001.98</v>
      </c>
      <c r="AR38" s="8">
        <v>2001.98</v>
      </c>
      <c r="AS38" s="8">
        <v>2001.98</v>
      </c>
      <c r="AT38" s="8">
        <v>2001.98</v>
      </c>
      <c r="AU38" s="8">
        <v>2001.98</v>
      </c>
      <c r="AV38" s="8">
        <v>2001.98</v>
      </c>
      <c r="AW38" s="8">
        <v>2001.98</v>
      </c>
      <c r="AX38" s="8">
        <v>2001.98</v>
      </c>
      <c r="AY38" s="8">
        <v>2001.98</v>
      </c>
      <c r="AZ38" s="8">
        <v>2001.98</v>
      </c>
      <c r="BA38" s="8">
        <v>2001.98</v>
      </c>
      <c r="BB38" s="8">
        <v>2001.98</v>
      </c>
      <c r="BC38" s="8">
        <v>2001.98</v>
      </c>
      <c r="BD38" s="8">
        <v>2001.98</v>
      </c>
      <c r="BE38" s="8">
        <v>2001.98</v>
      </c>
      <c r="BF38" s="36">
        <f t="shared" si="39"/>
        <v>16015.839999999998</v>
      </c>
      <c r="BG38" s="36">
        <f t="shared" si="40"/>
        <v>24023.759999999998</v>
      </c>
      <c r="BH38" s="36">
        <f>SUM(Z38:AK38)</f>
        <v>24023.759999999998</v>
      </c>
      <c r="BI38" s="36">
        <f t="shared" si="46"/>
        <v>24023.759999999998</v>
      </c>
      <c r="BJ38" s="31">
        <f t="shared" si="43"/>
        <v>10009.9</v>
      </c>
      <c r="BK38" s="31">
        <f t="shared" si="44"/>
        <v>24023.759999999998</v>
      </c>
      <c r="BL38" s="31">
        <f t="shared" si="45"/>
        <v>24023.759999999998</v>
      </c>
      <c r="BM38" s="31">
        <f t="shared" si="47"/>
        <v>24023.759999999998</v>
      </c>
      <c r="BN38" s="31">
        <f t="shared" si="48"/>
        <v>24021.769999999997</v>
      </c>
      <c r="BO38" s="31">
        <f t="shared" si="49"/>
        <v>6002.95</v>
      </c>
      <c r="BP38" s="7"/>
      <c r="BQ38" s="7"/>
    </row>
    <row r="39" spans="1:69" ht="14.4" x14ac:dyDescent="0.3">
      <c r="A39" s="1" t="s">
        <v>40</v>
      </c>
      <c r="B39" s="8">
        <v>14370</v>
      </c>
      <c r="C39" s="8">
        <v>14508</v>
      </c>
      <c r="D39" s="1">
        <v>14508</v>
      </c>
      <c r="E39" s="8">
        <v>14508</v>
      </c>
      <c r="Q39" s="16"/>
      <c r="S39" s="11"/>
      <c r="T39" s="11"/>
      <c r="U39" s="11"/>
      <c r="V39" s="11"/>
      <c r="W39" s="8"/>
      <c r="X39" s="8"/>
      <c r="Y39" s="8"/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36">
        <f t="shared" si="39"/>
        <v>0</v>
      </c>
      <c r="BG39" s="36">
        <f t="shared" si="40"/>
        <v>0</v>
      </c>
      <c r="BH39" s="35"/>
      <c r="BI39" s="35">
        <f t="shared" si="46"/>
        <v>0</v>
      </c>
      <c r="BJ39" s="31">
        <f t="shared" si="43"/>
        <v>0</v>
      </c>
      <c r="BK39" s="31">
        <f t="shared" si="44"/>
        <v>0</v>
      </c>
      <c r="BL39" s="31">
        <f t="shared" si="45"/>
        <v>0</v>
      </c>
      <c r="BM39" s="31">
        <f t="shared" si="47"/>
        <v>0</v>
      </c>
      <c r="BN39" s="31">
        <f t="shared" si="48"/>
        <v>14508</v>
      </c>
      <c r="BO39" s="31">
        <f t="shared" si="49"/>
        <v>43386</v>
      </c>
      <c r="BP39" s="7"/>
      <c r="BQ39" s="7"/>
    </row>
    <row r="40" spans="1:69" ht="14.4" x14ac:dyDescent="0.3">
      <c r="A40" s="1" t="s">
        <v>41</v>
      </c>
      <c r="B40" s="8">
        <v>15990</v>
      </c>
      <c r="C40" s="8">
        <v>16533.330000000002</v>
      </c>
      <c r="D40" s="1">
        <v>16533.330000000002</v>
      </c>
      <c r="E40" s="8">
        <v>16533.330000000002</v>
      </c>
      <c r="Q40" s="16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 t="s">
        <v>133</v>
      </c>
      <c r="BB40" s="8"/>
      <c r="BC40" s="8"/>
      <c r="BD40" s="8"/>
      <c r="BE40" s="8"/>
      <c r="BF40" s="36">
        <f t="shared" si="39"/>
        <v>0</v>
      </c>
      <c r="BG40" s="36">
        <f t="shared" si="40"/>
        <v>0</v>
      </c>
      <c r="BH40" s="40"/>
      <c r="BI40" s="40">
        <f t="shared" si="46"/>
        <v>0</v>
      </c>
      <c r="BJ40" s="31">
        <f t="shared" si="43"/>
        <v>0</v>
      </c>
      <c r="BK40" s="31">
        <f t="shared" si="44"/>
        <v>0</v>
      </c>
      <c r="BL40" s="31">
        <f t="shared" si="45"/>
        <v>0</v>
      </c>
      <c r="BM40" s="31">
        <f t="shared" si="47"/>
        <v>0</v>
      </c>
      <c r="BN40" s="31">
        <f t="shared" si="48"/>
        <v>16533.330000000002</v>
      </c>
      <c r="BO40" s="31">
        <f t="shared" si="49"/>
        <v>49056.66</v>
      </c>
      <c r="BP40" s="7"/>
      <c r="BQ40" s="7"/>
    </row>
    <row r="41" spans="1:69" ht="14.4" x14ac:dyDescent="0.3">
      <c r="A41" s="1" t="s">
        <v>42</v>
      </c>
      <c r="L41" s="8">
        <v>1454.5</v>
      </c>
      <c r="M41" s="8">
        <v>2132.54</v>
      </c>
      <c r="Q41" s="16"/>
      <c r="R41" s="17"/>
      <c r="S41" s="19"/>
      <c r="T41" s="19"/>
      <c r="U41" s="19"/>
      <c r="V41" s="19"/>
      <c r="W41" s="19"/>
      <c r="X41" s="19"/>
      <c r="Y41" s="19"/>
      <c r="Z41" s="27">
        <v>1542.17</v>
      </c>
      <c r="AA41" s="27"/>
      <c r="AB41" s="27"/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 t="s">
        <v>133</v>
      </c>
      <c r="BB41" s="8"/>
      <c r="BC41" s="8"/>
      <c r="BD41" s="8"/>
      <c r="BE41" s="8"/>
      <c r="BF41" s="36">
        <f t="shared" si="39"/>
        <v>0</v>
      </c>
      <c r="BG41" s="36">
        <f t="shared" si="40"/>
        <v>0</v>
      </c>
      <c r="BH41" s="40"/>
      <c r="BI41" s="38">
        <f t="shared" si="46"/>
        <v>0</v>
      </c>
      <c r="BJ41" s="31">
        <f t="shared" si="43"/>
        <v>0</v>
      </c>
      <c r="BK41" s="31">
        <f t="shared" si="44"/>
        <v>0</v>
      </c>
      <c r="BL41" s="31">
        <f t="shared" si="45"/>
        <v>0</v>
      </c>
      <c r="BM41" s="31">
        <f t="shared" si="47"/>
        <v>1542.17</v>
      </c>
      <c r="BN41" s="31">
        <f t="shared" si="48"/>
        <v>3587.04</v>
      </c>
      <c r="BO41" s="31">
        <f t="shared" si="49"/>
        <v>0</v>
      </c>
      <c r="BP41" s="7"/>
      <c r="BQ41" s="7"/>
    </row>
    <row r="42" spans="1:69" ht="14.4" x14ac:dyDescent="0.3">
      <c r="A42" s="1" t="s">
        <v>43</v>
      </c>
      <c r="C42" s="8">
        <v>27</v>
      </c>
      <c r="D42" s="8">
        <v>0</v>
      </c>
      <c r="E42" s="8">
        <v>523.37</v>
      </c>
      <c r="F42" s="8">
        <v>34</v>
      </c>
      <c r="G42" s="8">
        <v>382.4</v>
      </c>
      <c r="H42" s="8">
        <v>1065.03</v>
      </c>
      <c r="I42" s="8">
        <v>3493.08</v>
      </c>
      <c r="J42" s="8">
        <v>2025.8</v>
      </c>
      <c r="K42" s="8">
        <v>5713.65</v>
      </c>
      <c r="L42" s="8">
        <v>12153.25</v>
      </c>
      <c r="M42" s="8">
        <v>5858.36</v>
      </c>
      <c r="N42" s="8">
        <v>2807.95</v>
      </c>
      <c r="O42" s="8">
        <v>696.69</v>
      </c>
      <c r="P42" s="8">
        <v>5059.07</v>
      </c>
      <c r="Q42" s="9">
        <v>2551.19</v>
      </c>
      <c r="R42" s="10">
        <v>12228.2</v>
      </c>
      <c r="S42" s="10">
        <v>17070.91</v>
      </c>
      <c r="T42" s="10">
        <v>6941.82</v>
      </c>
      <c r="U42" s="8">
        <v>-8116.77</v>
      </c>
      <c r="V42" s="8">
        <v>-22.24</v>
      </c>
      <c r="W42" s="8">
        <v>1535.56</v>
      </c>
      <c r="X42" s="8">
        <v>3820.51</v>
      </c>
      <c r="Y42" s="8">
        <v>2316.33</v>
      </c>
      <c r="Z42" s="8">
        <v>1318.77</v>
      </c>
      <c r="AA42" s="8">
        <v>6349.18</v>
      </c>
      <c r="AB42" s="8">
        <v>3168.19</v>
      </c>
      <c r="AC42" s="8">
        <v>6317.26</v>
      </c>
      <c r="AD42" s="8">
        <v>757.61</v>
      </c>
      <c r="AE42" s="8">
        <v>7921.72</v>
      </c>
      <c r="AF42" s="8">
        <v>14264.9</v>
      </c>
      <c r="AG42" s="8">
        <v>4173.53</v>
      </c>
      <c r="AH42" s="8">
        <v>1548.73</v>
      </c>
      <c r="AI42" s="8">
        <v>12924.98</v>
      </c>
      <c r="AJ42" s="8">
        <v>5397.8</v>
      </c>
      <c r="AK42" s="8">
        <v>3826.67</v>
      </c>
      <c r="AL42" s="8">
        <v>2952.7</v>
      </c>
      <c r="AM42" s="8">
        <v>4543.71</v>
      </c>
      <c r="AN42" s="8">
        <v>5783.78</v>
      </c>
      <c r="AO42" s="8">
        <v>3030.98</v>
      </c>
      <c r="AP42" s="8">
        <v>11007.06</v>
      </c>
      <c r="AQ42" s="8">
        <v>1484.67</v>
      </c>
      <c r="AR42" s="8">
        <v>1389.41</v>
      </c>
      <c r="AS42" s="8">
        <v>6547.01</v>
      </c>
      <c r="AT42" s="8">
        <v>3986.18</v>
      </c>
      <c r="AU42" s="8">
        <v>8304.17</v>
      </c>
      <c r="AV42" s="8">
        <v>1889.71</v>
      </c>
      <c r="AW42" s="8">
        <v>4187.6000000000004</v>
      </c>
      <c r="AX42" s="8">
        <v>6757.46</v>
      </c>
      <c r="AY42" s="8">
        <v>5232.55</v>
      </c>
      <c r="AZ42" s="8">
        <v>3108.28</v>
      </c>
      <c r="BA42" s="8">
        <v>2586.9699999999998</v>
      </c>
      <c r="BB42" s="8">
        <v>6116.7</v>
      </c>
      <c r="BC42" s="8">
        <v>11549.1</v>
      </c>
      <c r="BD42" s="8">
        <v>2561.66</v>
      </c>
      <c r="BE42" s="8">
        <v>2751.29</v>
      </c>
      <c r="BF42" s="36">
        <f t="shared" si="39"/>
        <v>40664.01</v>
      </c>
      <c r="BG42" s="36">
        <f t="shared" si="40"/>
        <v>55106.979999999989</v>
      </c>
      <c r="BH42" s="38">
        <v>68187.63</v>
      </c>
      <c r="BI42" s="36">
        <f t="shared" si="46"/>
        <v>46889.22</v>
      </c>
      <c r="BJ42" s="31">
        <f t="shared" si="43"/>
        <v>25565.72</v>
      </c>
      <c r="BK42" s="31">
        <f t="shared" si="44"/>
        <v>56925.079999999994</v>
      </c>
      <c r="BL42" s="31">
        <f t="shared" si="45"/>
        <v>70413.39</v>
      </c>
      <c r="BM42" s="31">
        <f t="shared" si="47"/>
        <v>49161.65</v>
      </c>
      <c r="BN42" s="31">
        <f t="shared" si="48"/>
        <v>39812.65</v>
      </c>
      <c r="BO42" s="31">
        <f t="shared" si="49"/>
        <v>27</v>
      </c>
      <c r="BP42" s="7"/>
      <c r="BQ42" s="7"/>
    </row>
    <row r="43" spans="1:69" ht="14.4" x14ac:dyDescent="0.3">
      <c r="A43" s="1" t="s">
        <v>44</v>
      </c>
      <c r="N43" s="8">
        <v>16125</v>
      </c>
      <c r="Q43" s="16"/>
      <c r="R43" s="10"/>
      <c r="S43" s="10"/>
      <c r="T43" s="10"/>
      <c r="U43" s="10"/>
      <c r="V43" s="10"/>
      <c r="W43" s="8">
        <v>1035</v>
      </c>
      <c r="X43" s="8">
        <v>1099.5</v>
      </c>
      <c r="Y43" s="8">
        <v>3090</v>
      </c>
      <c r="Z43" s="8">
        <v>344.85</v>
      </c>
      <c r="AA43" s="8">
        <v>16657.5</v>
      </c>
      <c r="AB43" s="8">
        <v>2160</v>
      </c>
      <c r="AC43" s="8">
        <v>14619</v>
      </c>
      <c r="AD43" s="8">
        <v>2490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 t="s">
        <v>133</v>
      </c>
      <c r="BB43" s="8"/>
      <c r="BC43" s="8"/>
      <c r="BD43" s="8"/>
      <c r="BE43" s="8"/>
      <c r="BF43" s="36">
        <f t="shared" si="39"/>
        <v>0</v>
      </c>
      <c r="BG43" s="36">
        <f t="shared" si="40"/>
        <v>0</v>
      </c>
      <c r="BH43" s="36">
        <v>36271.35</v>
      </c>
      <c r="BI43" s="36">
        <f t="shared" si="46"/>
        <v>21349.5</v>
      </c>
      <c r="BJ43" s="31">
        <f t="shared" si="43"/>
        <v>0</v>
      </c>
      <c r="BK43" s="31">
        <f t="shared" si="44"/>
        <v>0</v>
      </c>
      <c r="BL43" s="31">
        <f t="shared" si="45"/>
        <v>17109</v>
      </c>
      <c r="BM43" s="31">
        <f t="shared" si="47"/>
        <v>24386.85</v>
      </c>
      <c r="BN43" s="31">
        <f t="shared" si="48"/>
        <v>16125</v>
      </c>
      <c r="BO43" s="31">
        <f t="shared" si="49"/>
        <v>0</v>
      </c>
      <c r="BP43" s="7"/>
      <c r="BQ43" s="7"/>
    </row>
    <row r="44" spans="1:69" ht="14.4" x14ac:dyDescent="0.3">
      <c r="A44" s="1" t="s">
        <v>45</v>
      </c>
      <c r="C44" s="8">
        <v>43.6</v>
      </c>
      <c r="D44" s="1">
        <v>-12.7</v>
      </c>
      <c r="Q44" s="16"/>
      <c r="R44" s="17"/>
      <c r="S44" s="17"/>
      <c r="T44" s="17"/>
      <c r="U44" s="17"/>
      <c r="V44" s="17"/>
      <c r="W44" s="17"/>
      <c r="X44" s="17"/>
      <c r="Y44" s="17"/>
      <c r="Z44" s="17">
        <v>1110</v>
      </c>
      <c r="AA44" s="17"/>
      <c r="AB44" s="17">
        <v>290.98</v>
      </c>
      <c r="AC44" s="8">
        <v>0</v>
      </c>
      <c r="AD44" s="8">
        <v>1500</v>
      </c>
      <c r="AE44" s="8">
        <v>0</v>
      </c>
      <c r="AF44" s="8">
        <v>1321.32</v>
      </c>
      <c r="AG44" s="8">
        <v>28</v>
      </c>
      <c r="AH44" s="8">
        <v>28</v>
      </c>
      <c r="AI44" s="8">
        <v>28</v>
      </c>
      <c r="AJ44" s="8">
        <v>28</v>
      </c>
      <c r="AK44" s="8">
        <v>28</v>
      </c>
      <c r="AL44" s="8">
        <v>238.21</v>
      </c>
      <c r="AM44" s="8">
        <v>217.86</v>
      </c>
      <c r="AN44" s="8">
        <v>238.21</v>
      </c>
      <c r="AO44" s="8">
        <v>231.42</v>
      </c>
      <c r="AP44" s="8">
        <v>238.21</v>
      </c>
      <c r="AQ44" s="8">
        <v>231.42</v>
      </c>
      <c r="AR44" s="8">
        <v>238.21</v>
      </c>
      <c r="AS44" s="8">
        <v>238.21</v>
      </c>
      <c r="AT44" s="8">
        <v>231.42</v>
      </c>
      <c r="AU44" s="8">
        <v>238.21</v>
      </c>
      <c r="AV44" s="8">
        <v>231.42</v>
      </c>
      <c r="AW44" s="8">
        <v>2735.49</v>
      </c>
      <c r="AX44" s="8">
        <v>332.76</v>
      </c>
      <c r="AY44" s="8">
        <v>303.99</v>
      </c>
      <c r="AZ44" s="8">
        <v>332.76</v>
      </c>
      <c r="BA44" s="8">
        <v>323.17</v>
      </c>
      <c r="BB44" s="8">
        <v>332.76</v>
      </c>
      <c r="BC44" s="8">
        <v>323.17</v>
      </c>
      <c r="BD44" s="8">
        <v>332.76</v>
      </c>
      <c r="BE44" s="8">
        <v>332.76</v>
      </c>
      <c r="BF44" s="36">
        <f t="shared" si="39"/>
        <v>2614.13</v>
      </c>
      <c r="BG44" s="36">
        <f t="shared" si="40"/>
        <v>5308.29</v>
      </c>
      <c r="BH44" s="36">
        <v>4362.3</v>
      </c>
      <c r="BI44" s="41">
        <f t="shared" si="46"/>
        <v>0</v>
      </c>
      <c r="BJ44" s="31">
        <f t="shared" si="43"/>
        <v>1644.6200000000001</v>
      </c>
      <c r="BK44" s="31">
        <f t="shared" si="44"/>
        <v>5583.52</v>
      </c>
      <c r="BL44" s="31">
        <f t="shared" si="45"/>
        <v>3655.6</v>
      </c>
      <c r="BM44" s="31">
        <f t="shared" si="47"/>
        <v>1400.98</v>
      </c>
      <c r="BN44" s="31">
        <f t="shared" si="48"/>
        <v>0</v>
      </c>
      <c r="BO44" s="31">
        <f t="shared" si="49"/>
        <v>30.900000000000002</v>
      </c>
      <c r="BP44" s="7"/>
      <c r="BQ44" s="7"/>
    </row>
    <row r="45" spans="1:69" s="4" customFormat="1" ht="14.4" x14ac:dyDescent="0.3">
      <c r="A45" s="4" t="s">
        <v>46</v>
      </c>
      <c r="B45" s="12">
        <f t="shared" ref="B45:C45" si="50">SUM(B26:B44)</f>
        <v>71044.95</v>
      </c>
      <c r="C45" s="12">
        <f t="shared" si="50"/>
        <v>71784.63</v>
      </c>
      <c r="D45" s="12">
        <f>SUM(D26:D44)</f>
        <v>72201.34</v>
      </c>
      <c r="E45" s="12">
        <v>70590.28</v>
      </c>
      <c r="F45" s="12">
        <v>73844.649999999994</v>
      </c>
      <c r="G45" s="12">
        <v>121305.16</v>
      </c>
      <c r="H45" s="12">
        <v>77412.75</v>
      </c>
      <c r="I45" s="12">
        <v>79840.800000000003</v>
      </c>
      <c r="J45" s="12">
        <v>85667.839999999997</v>
      </c>
      <c r="K45" s="12">
        <v>90454.9</v>
      </c>
      <c r="L45" s="12">
        <v>100598.28</v>
      </c>
      <c r="M45" s="12">
        <v>95130.7</v>
      </c>
      <c r="N45" s="12">
        <v>111281.74</v>
      </c>
      <c r="O45" s="12">
        <v>96640.15</v>
      </c>
      <c r="P45" s="12">
        <v>113960.41</v>
      </c>
      <c r="Q45" s="13">
        <f t="shared" ref="Q45:AB45" si="51">SUM(Q26:Q44)</f>
        <v>93322.06</v>
      </c>
      <c r="R45" s="13">
        <f t="shared" si="51"/>
        <v>100348.13</v>
      </c>
      <c r="S45" s="13">
        <f t="shared" si="51"/>
        <v>191188.79000000004</v>
      </c>
      <c r="T45" s="13">
        <f t="shared" si="51"/>
        <v>96817.609999999986</v>
      </c>
      <c r="U45" s="13">
        <f t="shared" si="51"/>
        <v>82695.929999999993</v>
      </c>
      <c r="V45" s="13">
        <f t="shared" si="51"/>
        <v>95162.359999999986</v>
      </c>
      <c r="W45" s="13">
        <f t="shared" si="51"/>
        <v>97729.059999999983</v>
      </c>
      <c r="X45" s="13">
        <f>SUM(X26:X44)</f>
        <v>103532.56999999998</v>
      </c>
      <c r="Y45" s="13">
        <f t="shared" ref="Y45" si="52">SUM(Y26:Y44)</f>
        <v>115835.25</v>
      </c>
      <c r="Z45" s="13">
        <f t="shared" ref="Z45:AA45" si="53">SUM(Z26:Z44)</f>
        <v>115691.28</v>
      </c>
      <c r="AA45" s="13">
        <f t="shared" si="53"/>
        <v>134698.56999999998</v>
      </c>
      <c r="AB45" s="13">
        <f t="shared" si="51"/>
        <v>109648.16999999998</v>
      </c>
      <c r="AC45" s="13">
        <f t="shared" ref="AC45:AD45" si="54">SUM(AC26:AC44)</f>
        <v>137009.07</v>
      </c>
      <c r="AD45" s="13">
        <f t="shared" si="54"/>
        <v>124602.09999999999</v>
      </c>
      <c r="AE45" s="13">
        <f t="shared" ref="AE45:AF45" si="55">SUM(AE26:AE44)</f>
        <v>141035.73000000001</v>
      </c>
      <c r="AF45" s="13">
        <f t="shared" si="55"/>
        <v>148691.65000000002</v>
      </c>
      <c r="AG45" s="13">
        <f t="shared" ref="AG45:AH45" si="56">SUM(AG26:AG44)</f>
        <v>238728.43</v>
      </c>
      <c r="AH45" s="13">
        <f t="shared" si="56"/>
        <v>152407.76</v>
      </c>
      <c r="AI45" s="13">
        <f t="shared" ref="AI45:AJ45" si="57">SUM(AI26:AI44)</f>
        <v>158246.07</v>
      </c>
      <c r="AJ45" s="13">
        <f t="shared" si="57"/>
        <v>150017.29</v>
      </c>
      <c r="AK45" s="13">
        <f t="shared" ref="AK45" si="58">SUM(AK26:AK44)</f>
        <v>150931.68000000002</v>
      </c>
      <c r="AL45" s="13">
        <f t="shared" ref="AL45:AM45" si="59">SUM(AL26:AL44)</f>
        <v>159967.87</v>
      </c>
      <c r="AM45" s="13">
        <f t="shared" si="59"/>
        <v>155399.53999999998</v>
      </c>
      <c r="AN45" s="13">
        <f t="shared" ref="AN45:AQ45" si="60">SUM(AN26:AN44)</f>
        <v>163628.07999999999</v>
      </c>
      <c r="AO45" s="13">
        <f t="shared" si="60"/>
        <v>153155.69000000003</v>
      </c>
      <c r="AP45" s="13">
        <f t="shared" si="60"/>
        <v>157004.96</v>
      </c>
      <c r="AQ45" s="13">
        <f t="shared" si="60"/>
        <v>343513.62999999995</v>
      </c>
      <c r="AR45" s="13">
        <f t="shared" ref="AR45:BE45" si="61">SUM(AR26:AR44)</f>
        <v>165312.20000000001</v>
      </c>
      <c r="AS45" s="13">
        <f t="shared" si="61"/>
        <v>188085.27000000002</v>
      </c>
      <c r="AT45" s="13">
        <f t="shared" si="61"/>
        <v>208806.25</v>
      </c>
      <c r="AU45" s="13">
        <f>SUM(AU26:AU44)</f>
        <v>170715.56000000003</v>
      </c>
      <c r="AV45" s="13">
        <f t="shared" si="61"/>
        <v>195009.97</v>
      </c>
      <c r="AW45" s="13">
        <f t="shared" si="61"/>
        <v>220731.13</v>
      </c>
      <c r="AX45" s="13">
        <f t="shared" si="61"/>
        <v>192121.84000000003</v>
      </c>
      <c r="AY45" s="13">
        <f t="shared" si="61"/>
        <v>180104.81999999998</v>
      </c>
      <c r="AZ45" s="13">
        <f t="shared" si="61"/>
        <v>201300.42000000004</v>
      </c>
      <c r="BA45" s="13">
        <f t="shared" si="61"/>
        <v>194723.97999999998</v>
      </c>
      <c r="BB45" s="13">
        <f t="shared" si="61"/>
        <v>203641.66</v>
      </c>
      <c r="BC45" s="13">
        <f t="shared" si="61"/>
        <v>235645.09</v>
      </c>
      <c r="BD45" s="13">
        <f t="shared" si="61"/>
        <v>227751.32</v>
      </c>
      <c r="BE45" s="13">
        <f t="shared" si="61"/>
        <v>220384.75000000003</v>
      </c>
      <c r="BF45" s="39">
        <f t="shared" si="39"/>
        <v>1655673.8800000001</v>
      </c>
      <c r="BG45" s="39">
        <f t="shared" si="40"/>
        <v>2281330.15</v>
      </c>
      <c r="BH45" s="37">
        <f>SUM(Z45:AK45)</f>
        <v>1761707.8</v>
      </c>
      <c r="BI45" s="37">
        <f t="shared" si="46"/>
        <v>1298514.06</v>
      </c>
      <c r="BJ45" s="32">
        <f t="shared" si="43"/>
        <v>1082146.8</v>
      </c>
      <c r="BK45" s="32">
        <f t="shared" si="44"/>
        <v>2375861.7400000002</v>
      </c>
      <c r="BL45" s="32">
        <f t="shared" si="45"/>
        <v>1880665.27</v>
      </c>
      <c r="BM45" s="32">
        <f t="shared" si="47"/>
        <v>1336669.7799999998</v>
      </c>
      <c r="BN45" s="32">
        <f t="shared" si="48"/>
        <v>1116727.6599999999</v>
      </c>
      <c r="BO45" s="32">
        <f t="shared" si="49"/>
        <v>215030.92</v>
      </c>
      <c r="BP45" s="7" t="s">
        <v>170</v>
      </c>
      <c r="BQ45" s="7"/>
    </row>
    <row r="46" spans="1:69" ht="14.4" x14ac:dyDescent="0.3">
      <c r="A46" s="1" t="s">
        <v>47</v>
      </c>
      <c r="Q46" s="16"/>
      <c r="R46" s="17"/>
      <c r="S46" s="17"/>
      <c r="T46" s="17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36"/>
      <c r="BG46" s="36"/>
      <c r="BH46" s="35"/>
      <c r="BI46" s="35"/>
      <c r="BJ46" s="31"/>
      <c r="BK46" s="31"/>
      <c r="BL46" s="31"/>
      <c r="BM46" s="31"/>
      <c r="BN46" s="31"/>
      <c r="BO46" s="31"/>
      <c r="BP46" s="7"/>
      <c r="BQ46" s="7"/>
    </row>
    <row r="47" spans="1:69" ht="14.4" x14ac:dyDescent="0.3">
      <c r="A47" s="1" t="s">
        <v>48</v>
      </c>
      <c r="B47" s="8">
        <v>4408.3900000000003</v>
      </c>
      <c r="C47" s="8">
        <v>4408.3900000000003</v>
      </c>
      <c r="D47" s="8">
        <v>4408.3900000000003</v>
      </c>
      <c r="E47" s="8">
        <v>4659.67</v>
      </c>
      <c r="F47" s="8">
        <v>4659.67</v>
      </c>
      <c r="G47" s="8">
        <v>4659.67</v>
      </c>
      <c r="H47" s="8">
        <v>4659.67</v>
      </c>
      <c r="I47" s="8">
        <v>4659.67</v>
      </c>
      <c r="J47" s="8">
        <v>4659.67</v>
      </c>
      <c r="K47" s="8">
        <v>4659.67</v>
      </c>
      <c r="L47" s="8">
        <v>4659.67</v>
      </c>
      <c r="M47" s="8">
        <v>4659.67</v>
      </c>
      <c r="N47" s="8">
        <v>4659.67</v>
      </c>
      <c r="O47" s="8">
        <v>4659.67</v>
      </c>
      <c r="P47" s="8">
        <v>4659.67</v>
      </c>
      <c r="Q47" s="9">
        <v>5000</v>
      </c>
      <c r="R47" s="10">
        <v>5000</v>
      </c>
      <c r="S47" s="10">
        <v>5000</v>
      </c>
      <c r="T47" s="10">
        <v>5000</v>
      </c>
      <c r="U47" s="8">
        <v>5000</v>
      </c>
      <c r="V47" s="8">
        <v>5000</v>
      </c>
      <c r="W47" s="8">
        <v>5000</v>
      </c>
      <c r="X47" s="8">
        <v>5000</v>
      </c>
      <c r="Y47" s="8">
        <v>5000</v>
      </c>
      <c r="Z47" s="8">
        <v>5000</v>
      </c>
      <c r="AA47" s="8">
        <v>5000</v>
      </c>
      <c r="AB47" s="8">
        <v>5000</v>
      </c>
      <c r="AC47" s="8">
        <v>0</v>
      </c>
      <c r="AD47" s="8">
        <v>0</v>
      </c>
      <c r="AE47" s="8">
        <v>0</v>
      </c>
      <c r="AF47" s="8">
        <v>10865.64</v>
      </c>
      <c r="AG47" s="8">
        <v>8635.33</v>
      </c>
      <c r="AH47" s="8">
        <v>7891.88</v>
      </c>
      <c r="AI47" s="8">
        <v>8635.32</v>
      </c>
      <c r="AJ47" s="8">
        <v>8635.32</v>
      </c>
      <c r="AK47" s="8">
        <v>8635.32</v>
      </c>
      <c r="AL47" s="8">
        <v>8635.32</v>
      </c>
      <c r="AM47" s="8">
        <v>8635.32</v>
      </c>
      <c r="AN47" s="8">
        <v>8635.32</v>
      </c>
      <c r="AO47" s="8">
        <v>8635.32</v>
      </c>
      <c r="AP47" s="8">
        <v>8635.32</v>
      </c>
      <c r="AQ47" s="8">
        <v>8635.32</v>
      </c>
      <c r="AR47" s="8">
        <v>8927.32</v>
      </c>
      <c r="AS47" s="8">
        <v>8927.32</v>
      </c>
      <c r="AT47" s="8">
        <v>8927.32</v>
      </c>
      <c r="AU47" s="8">
        <v>8927.32</v>
      </c>
      <c r="AV47" s="8">
        <v>8927.32</v>
      </c>
      <c r="AW47" s="8">
        <v>8927.32</v>
      </c>
      <c r="AX47" s="8">
        <v>8927.32</v>
      </c>
      <c r="AY47" s="8">
        <v>8927.32</v>
      </c>
      <c r="AZ47" s="8">
        <v>8927.32</v>
      </c>
      <c r="BA47" s="8">
        <v>9993.2000000000007</v>
      </c>
      <c r="BB47" s="8">
        <v>8268.8799999999992</v>
      </c>
      <c r="BC47" s="8">
        <v>9033.8799999999992</v>
      </c>
      <c r="BD47" s="8">
        <v>9238.48</v>
      </c>
      <c r="BE47" s="8">
        <v>9238.48</v>
      </c>
      <c r="BF47" s="36">
        <f>SUM(AX47:BE47)</f>
        <v>72554.87999999999</v>
      </c>
      <c r="BG47" s="36">
        <f t="shared" ref="BG47:BG51" si="62">SUM(AL47:AW47)</f>
        <v>105375.84000000003</v>
      </c>
      <c r="BH47" s="36">
        <f>SUM(Z47:AK47)</f>
        <v>68298.81</v>
      </c>
      <c r="BI47" s="36">
        <f t="shared" ref="BI47:BI51" si="63">SUM(N47:Y47)</f>
        <v>58979.01</v>
      </c>
      <c r="BJ47" s="31">
        <f>SUM(BA47:BE47)</f>
        <v>45772.92</v>
      </c>
      <c r="BK47" s="31">
        <f>SUM(AO47:AZ47)</f>
        <v>106251.84000000003</v>
      </c>
      <c r="BL47" s="31">
        <f t="shared" ref="BL47:BL51" si="64">SUM(AC47:AN47)</f>
        <v>79204.76999999999</v>
      </c>
      <c r="BM47" s="31">
        <f>SUM(Q47:AB47)</f>
        <v>60000</v>
      </c>
      <c r="BN47" s="31">
        <f>SUM(E47:P47)</f>
        <v>55916.039999999986</v>
      </c>
      <c r="BO47" s="31">
        <f>SUM(B47:D47)</f>
        <v>13225.170000000002</v>
      </c>
      <c r="BP47" s="7"/>
      <c r="BQ47" s="7"/>
    </row>
    <row r="48" spans="1:69" ht="14.4" x14ac:dyDescent="0.3">
      <c r="A48" s="1" t="s">
        <v>49</v>
      </c>
      <c r="D48" s="8">
        <v>0</v>
      </c>
      <c r="E48" s="8">
        <v>32.880000000000003</v>
      </c>
      <c r="F48" s="8">
        <v>33.97</v>
      </c>
      <c r="G48" s="8">
        <v>32.880000000000003</v>
      </c>
      <c r="H48" s="8">
        <v>33.97</v>
      </c>
      <c r="I48" s="8">
        <v>33.97</v>
      </c>
      <c r="J48" s="8">
        <v>32.880000000000003</v>
      </c>
      <c r="K48" s="8">
        <v>33.97</v>
      </c>
      <c r="L48" s="8">
        <v>32.880000000000003</v>
      </c>
      <c r="M48" s="8">
        <v>33.97</v>
      </c>
      <c r="N48" s="8">
        <v>33.97</v>
      </c>
      <c r="O48" s="8">
        <v>30.68</v>
      </c>
      <c r="P48" s="8">
        <v>33.979999999999997</v>
      </c>
      <c r="Q48" s="9">
        <v>480</v>
      </c>
      <c r="R48" s="10"/>
      <c r="S48" s="10"/>
      <c r="T48" s="10"/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 t="s">
        <v>133</v>
      </c>
      <c r="BB48" s="8"/>
      <c r="BC48" s="8"/>
      <c r="BD48" s="8"/>
      <c r="BE48" s="8"/>
      <c r="BF48" s="36">
        <f>SUM(AX48:BE48)</f>
        <v>0</v>
      </c>
      <c r="BG48" s="36">
        <f t="shared" si="62"/>
        <v>0</v>
      </c>
      <c r="BH48" s="35"/>
      <c r="BI48" s="35">
        <f t="shared" si="63"/>
        <v>578.63</v>
      </c>
      <c r="BJ48" s="31">
        <f>SUM(BA48:BE48)</f>
        <v>0</v>
      </c>
      <c r="BK48" s="31">
        <f>SUM(AO48:AZ48)</f>
        <v>0</v>
      </c>
      <c r="BL48" s="31">
        <f t="shared" si="64"/>
        <v>0</v>
      </c>
      <c r="BM48" s="31">
        <f>SUM(Q48:AB48)</f>
        <v>480</v>
      </c>
      <c r="BN48" s="31">
        <f>SUM(E48:P48)</f>
        <v>400.00000000000006</v>
      </c>
      <c r="BO48" s="31">
        <f>SUM(B48:D48)</f>
        <v>0</v>
      </c>
      <c r="BP48" s="7"/>
      <c r="BQ48" s="7"/>
    </row>
    <row r="49" spans="1:69" ht="14.4" x14ac:dyDescent="0.3">
      <c r="A49" s="1" t="s">
        <v>50</v>
      </c>
      <c r="B49" s="8">
        <v>207.23</v>
      </c>
      <c r="C49" s="8">
        <v>184.3</v>
      </c>
      <c r="D49" s="8">
        <v>184.29</v>
      </c>
      <c r="E49" s="8">
        <v>25.33</v>
      </c>
      <c r="F49" s="8">
        <v>162.36000000000001</v>
      </c>
      <c r="G49" s="8">
        <v>185.05</v>
      </c>
      <c r="H49" s="8">
        <v>171.54</v>
      </c>
      <c r="I49" s="8">
        <v>142.97999999999999</v>
      </c>
      <c r="J49" s="8">
        <v>350.82</v>
      </c>
      <c r="L49" s="8">
        <v>-14.05</v>
      </c>
      <c r="M49" s="8">
        <v>-21.59</v>
      </c>
      <c r="N49" s="8">
        <v>203.89</v>
      </c>
      <c r="O49" s="8">
        <v>196.26</v>
      </c>
      <c r="P49" s="8">
        <v>-155.91999999999999</v>
      </c>
      <c r="Q49" s="9">
        <v>392.52</v>
      </c>
      <c r="R49" s="10">
        <v>203.71</v>
      </c>
      <c r="S49" s="10">
        <v>28.44</v>
      </c>
      <c r="T49" s="10">
        <v>189.26</v>
      </c>
      <c r="U49" s="8">
        <v>189.26</v>
      </c>
      <c r="V49" s="8">
        <v>189.27</v>
      </c>
      <c r="W49" s="8">
        <v>253.29</v>
      </c>
      <c r="X49" s="8">
        <v>229</v>
      </c>
      <c r="Y49" s="8">
        <v>202.39</v>
      </c>
      <c r="Z49" s="8">
        <v>368.84</v>
      </c>
      <c r="AA49" s="8">
        <v>218.06</v>
      </c>
      <c r="AB49" s="8">
        <v>9.11</v>
      </c>
      <c r="AC49" s="8">
        <v>189.31</v>
      </c>
      <c r="AD49" s="8">
        <v>406.97</v>
      </c>
      <c r="AE49" s="8">
        <v>395.32</v>
      </c>
      <c r="AF49" s="8">
        <v>453.72</v>
      </c>
      <c r="AG49" s="8">
        <v>453.72</v>
      </c>
      <c r="AH49" s="8">
        <v>441.3</v>
      </c>
      <c r="AI49" s="8">
        <v>600.64</v>
      </c>
      <c r="AJ49" s="8">
        <v>440.88</v>
      </c>
      <c r="AK49" s="8">
        <v>440.88</v>
      </c>
      <c r="AL49" s="8">
        <v>469.05</v>
      </c>
      <c r="AM49" s="8">
        <v>469.05</v>
      </c>
      <c r="AN49" s="8">
        <v>469.05</v>
      </c>
      <c r="AO49" s="8">
        <v>469.05</v>
      </c>
      <c r="AP49" s="8">
        <v>756.71</v>
      </c>
      <c r="AQ49" s="8">
        <v>345.35</v>
      </c>
      <c r="AR49" s="8">
        <v>469.05</v>
      </c>
      <c r="AS49" s="8">
        <v>469.05</v>
      </c>
      <c r="AT49" s="8">
        <v>469.05</v>
      </c>
      <c r="AU49" s="8">
        <v>541.61</v>
      </c>
      <c r="AV49" s="8">
        <v>469.05</v>
      </c>
      <c r="AW49" s="8">
        <v>469.05</v>
      </c>
      <c r="AX49" s="8">
        <v>495.93</v>
      </c>
      <c r="AY49" s="8">
        <v>649.29</v>
      </c>
      <c r="AZ49" s="8">
        <v>495.93</v>
      </c>
      <c r="BA49" s="8">
        <v>495.93</v>
      </c>
      <c r="BB49" s="8">
        <v>495.93</v>
      </c>
      <c r="BC49" s="8">
        <v>495.93</v>
      </c>
      <c r="BD49" s="8">
        <v>495.93</v>
      </c>
      <c r="BE49" s="8">
        <v>495.93</v>
      </c>
      <c r="BF49" s="36">
        <f>SUM(AX49:BE49)</f>
        <v>4120.7999999999993</v>
      </c>
      <c r="BG49" s="36">
        <f t="shared" si="62"/>
        <v>5865.12</v>
      </c>
      <c r="BH49" s="36">
        <f>SUM(Z49:AK49)</f>
        <v>4418.75</v>
      </c>
      <c r="BI49" s="36">
        <f t="shared" si="63"/>
        <v>2121.37</v>
      </c>
      <c r="BJ49" s="31">
        <f>SUM(BA49:BE49)</f>
        <v>2479.65</v>
      </c>
      <c r="BK49" s="31">
        <f>SUM(AO49:AZ49)</f>
        <v>6099.1200000000008</v>
      </c>
      <c r="BL49" s="31">
        <f t="shared" si="64"/>
        <v>5229.8900000000003</v>
      </c>
      <c r="BM49" s="31">
        <f>SUM(Q49:AB49)</f>
        <v>2473.15</v>
      </c>
      <c r="BN49" s="31">
        <f>SUM(E49:P49)</f>
        <v>1246.6699999999998</v>
      </c>
      <c r="BO49" s="31">
        <f>SUM(B49:D49)</f>
        <v>575.81999999999994</v>
      </c>
      <c r="BP49" s="7"/>
      <c r="BQ49" s="7"/>
    </row>
    <row r="50" spans="1:69" ht="14.4" x14ac:dyDescent="0.3">
      <c r="A50" s="1" t="s">
        <v>105</v>
      </c>
      <c r="B50" s="8"/>
      <c r="C50" s="8"/>
      <c r="D50" s="8"/>
      <c r="E50" s="8"/>
      <c r="F50" s="8"/>
      <c r="G50" s="8"/>
      <c r="H50" s="8"/>
      <c r="I50" s="8"/>
      <c r="J50" s="8"/>
      <c r="L50" s="8"/>
      <c r="M50" s="8"/>
      <c r="N50" s="8"/>
      <c r="O50" s="8"/>
      <c r="P50" s="8"/>
      <c r="Q50" s="9"/>
      <c r="R50" s="10"/>
      <c r="S50" s="10"/>
      <c r="T50" s="10"/>
      <c r="U50" s="8"/>
      <c r="V50" s="8"/>
      <c r="W50" s="8"/>
      <c r="X50" s="8"/>
      <c r="Y50" s="8"/>
      <c r="Z50" s="8"/>
      <c r="AA50" s="8"/>
      <c r="AB50" s="8"/>
      <c r="AC50" s="8">
        <v>1125.54</v>
      </c>
      <c r="AD50" s="8">
        <v>0</v>
      </c>
      <c r="AE50" s="8">
        <v>0</v>
      </c>
      <c r="AF50" s="8">
        <v>347.07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 t="s">
        <v>133</v>
      </c>
      <c r="BB50" s="8"/>
      <c r="BC50" s="8"/>
      <c r="BD50" s="8"/>
      <c r="BE50" s="8"/>
      <c r="BF50" s="36">
        <f>SUM(AX50:BE50)</f>
        <v>0</v>
      </c>
      <c r="BG50" s="36">
        <f t="shared" si="62"/>
        <v>0</v>
      </c>
      <c r="BH50" s="36">
        <f>SUM(Z50:AK50)</f>
        <v>1472.61</v>
      </c>
      <c r="BI50" s="36">
        <f t="shared" si="63"/>
        <v>0</v>
      </c>
      <c r="BJ50" s="31">
        <f>SUM(BA50:BE50)</f>
        <v>0</v>
      </c>
      <c r="BK50" s="31">
        <f>SUM(AO50:AZ50)</f>
        <v>0</v>
      </c>
      <c r="BL50" s="31">
        <f t="shared" si="64"/>
        <v>1472.61</v>
      </c>
      <c r="BM50" s="31"/>
      <c r="BN50" s="31"/>
      <c r="BO50" s="31"/>
      <c r="BP50" s="7"/>
      <c r="BQ50" s="7"/>
    </row>
    <row r="51" spans="1:69" s="4" customFormat="1" ht="14.4" x14ac:dyDescent="0.3">
      <c r="A51" s="4" t="s">
        <v>51</v>
      </c>
      <c r="B51" s="12">
        <v>4615.62</v>
      </c>
      <c r="C51" s="12">
        <v>4592.6899999999996</v>
      </c>
      <c r="D51" s="12">
        <f>SUM(D47:D49)</f>
        <v>4592.68</v>
      </c>
      <c r="E51" s="12">
        <v>4717.88</v>
      </c>
      <c r="F51" s="12">
        <v>4856</v>
      </c>
      <c r="G51" s="12">
        <v>4877.6000000000004</v>
      </c>
      <c r="H51" s="12">
        <v>4865.18</v>
      </c>
      <c r="I51" s="12">
        <v>4836.62</v>
      </c>
      <c r="J51" s="12">
        <v>5043.37</v>
      </c>
      <c r="K51" s="12">
        <v>4693.6400000000003</v>
      </c>
      <c r="L51" s="12">
        <v>4678.5</v>
      </c>
      <c r="M51" s="12">
        <v>4672.05</v>
      </c>
      <c r="N51" s="12">
        <v>4897.53</v>
      </c>
      <c r="O51" s="12">
        <v>4886.6099999999997</v>
      </c>
      <c r="P51" s="12">
        <v>4537.7299999999996</v>
      </c>
      <c r="Q51" s="15">
        <f t="shared" ref="Q51:AB51" si="65">SUM(Q47:Q49)</f>
        <v>5872.52</v>
      </c>
      <c r="R51" s="15">
        <f t="shared" si="65"/>
        <v>5203.71</v>
      </c>
      <c r="S51" s="15">
        <f t="shared" si="65"/>
        <v>5028.4399999999996</v>
      </c>
      <c r="T51" s="15">
        <f t="shared" si="65"/>
        <v>5189.26</v>
      </c>
      <c r="U51" s="15">
        <f t="shared" si="65"/>
        <v>5189.26</v>
      </c>
      <c r="V51" s="15">
        <f t="shared" si="65"/>
        <v>5189.2700000000004</v>
      </c>
      <c r="W51" s="15">
        <f t="shared" si="65"/>
        <v>5253.29</v>
      </c>
      <c r="X51" s="15">
        <f t="shared" si="65"/>
        <v>5229</v>
      </c>
      <c r="Y51" s="15">
        <f t="shared" si="65"/>
        <v>5202.3900000000003</v>
      </c>
      <c r="Z51" s="15">
        <f t="shared" si="65"/>
        <v>5368.84</v>
      </c>
      <c r="AA51" s="15">
        <f t="shared" si="65"/>
        <v>5218.0600000000004</v>
      </c>
      <c r="AB51" s="15">
        <f t="shared" si="65"/>
        <v>5009.1099999999997</v>
      </c>
      <c r="AC51" s="15">
        <f t="shared" ref="AC51:BE51" si="66">SUM(AC47:AC50)</f>
        <v>1314.85</v>
      </c>
      <c r="AD51" s="15">
        <f t="shared" si="66"/>
        <v>406.97</v>
      </c>
      <c r="AE51" s="15">
        <f t="shared" si="66"/>
        <v>395.32</v>
      </c>
      <c r="AF51" s="15">
        <f t="shared" si="66"/>
        <v>11666.429999999998</v>
      </c>
      <c r="AG51" s="15">
        <f t="shared" si="66"/>
        <v>9089.0499999999993</v>
      </c>
      <c r="AH51" s="15">
        <f t="shared" si="66"/>
        <v>8333.18</v>
      </c>
      <c r="AI51" s="15">
        <f t="shared" si="66"/>
        <v>9235.9599999999991</v>
      </c>
      <c r="AJ51" s="15">
        <f t="shared" si="66"/>
        <v>9076.1999999999989</v>
      </c>
      <c r="AK51" s="15">
        <f t="shared" si="66"/>
        <v>9076.1999999999989</v>
      </c>
      <c r="AL51" s="15">
        <f t="shared" si="66"/>
        <v>9104.369999999999</v>
      </c>
      <c r="AM51" s="15">
        <f t="shared" si="66"/>
        <v>9104.369999999999</v>
      </c>
      <c r="AN51" s="15">
        <f t="shared" si="66"/>
        <v>9104.369999999999</v>
      </c>
      <c r="AO51" s="15">
        <f t="shared" si="66"/>
        <v>9104.369999999999</v>
      </c>
      <c r="AP51" s="15">
        <f t="shared" si="66"/>
        <v>9392.0299999999988</v>
      </c>
      <c r="AQ51" s="15">
        <f t="shared" si="66"/>
        <v>8980.67</v>
      </c>
      <c r="AR51" s="15">
        <f t="shared" si="66"/>
        <v>9396.369999999999</v>
      </c>
      <c r="AS51" s="15">
        <f t="shared" si="66"/>
        <v>9396.369999999999</v>
      </c>
      <c r="AT51" s="15">
        <f t="shared" si="66"/>
        <v>9396.369999999999</v>
      </c>
      <c r="AU51" s="15">
        <f t="shared" si="66"/>
        <v>9468.93</v>
      </c>
      <c r="AV51" s="15">
        <f t="shared" si="66"/>
        <v>9396.369999999999</v>
      </c>
      <c r="AW51" s="15">
        <f t="shared" si="66"/>
        <v>9396.369999999999</v>
      </c>
      <c r="AX51" s="15">
        <f t="shared" si="66"/>
        <v>9423.25</v>
      </c>
      <c r="AY51" s="15">
        <f t="shared" si="66"/>
        <v>9576.61</v>
      </c>
      <c r="AZ51" s="15">
        <f t="shared" si="66"/>
        <v>9423.25</v>
      </c>
      <c r="BA51" s="15">
        <f t="shared" si="66"/>
        <v>10489.130000000001</v>
      </c>
      <c r="BB51" s="15">
        <f t="shared" si="66"/>
        <v>8764.81</v>
      </c>
      <c r="BC51" s="15">
        <f t="shared" si="66"/>
        <v>9529.81</v>
      </c>
      <c r="BD51" s="15">
        <f t="shared" si="66"/>
        <v>9734.41</v>
      </c>
      <c r="BE51" s="15">
        <f t="shared" si="66"/>
        <v>9734.41</v>
      </c>
      <c r="BF51" s="39">
        <f>SUM(AX51:BE51)</f>
        <v>76675.680000000008</v>
      </c>
      <c r="BG51" s="39">
        <f t="shared" si="62"/>
        <v>111240.95999999996</v>
      </c>
      <c r="BH51" s="42">
        <f>SUM(Z51:AK51)</f>
        <v>74190.17</v>
      </c>
      <c r="BI51" s="42">
        <f t="shared" si="63"/>
        <v>61679.01</v>
      </c>
      <c r="BJ51" s="32">
        <f>SUM(BA51:BE51)</f>
        <v>48252.570000000007</v>
      </c>
      <c r="BK51" s="32">
        <f>SUM(AO51:AZ51)</f>
        <v>112350.95999999999</v>
      </c>
      <c r="BL51" s="32">
        <f t="shared" si="64"/>
        <v>85907.269999999975</v>
      </c>
      <c r="BM51" s="32">
        <f>SUM(Q51:AB51)</f>
        <v>62953.149999999994</v>
      </c>
      <c r="BN51" s="32">
        <f>SUM(E51:P51)</f>
        <v>57562.710000000006</v>
      </c>
      <c r="BO51" s="32">
        <f>SUM(B51:D51)</f>
        <v>13800.99</v>
      </c>
      <c r="BP51" s="103" t="s">
        <v>169</v>
      </c>
      <c r="BQ51" s="7"/>
    </row>
    <row r="52" spans="1:69" ht="14.4" x14ac:dyDescent="0.3">
      <c r="A52" s="1" t="s">
        <v>52</v>
      </c>
      <c r="Q52" s="13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/>
      <c r="BB52" s="8"/>
      <c r="BC52" s="8"/>
      <c r="BD52" s="8"/>
      <c r="BE52" s="8"/>
      <c r="BF52" s="36"/>
      <c r="BG52" s="36"/>
      <c r="BH52" s="42"/>
      <c r="BI52" s="42"/>
      <c r="BJ52" s="31"/>
      <c r="BK52" s="31"/>
      <c r="BL52" s="31"/>
      <c r="BM52" s="31"/>
      <c r="BN52" s="31"/>
      <c r="BO52" s="31"/>
      <c r="BP52" s="7"/>
      <c r="BQ52" s="7"/>
    </row>
    <row r="53" spans="1:69" ht="14.4" x14ac:dyDescent="0.3">
      <c r="A53" s="1" t="s">
        <v>53</v>
      </c>
      <c r="B53" s="8">
        <v>109.5</v>
      </c>
      <c r="C53" s="8">
        <v>49.84</v>
      </c>
      <c r="D53" s="1">
        <v>0</v>
      </c>
      <c r="Q53" s="13"/>
      <c r="R53" s="15"/>
      <c r="S53" s="15"/>
      <c r="T53" s="15"/>
      <c r="U53" s="10"/>
      <c r="V53" s="10"/>
      <c r="W53" s="24"/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 t="s">
        <v>133</v>
      </c>
      <c r="BB53" s="8"/>
      <c r="BC53" s="8"/>
      <c r="BD53" s="8"/>
      <c r="BE53" s="8"/>
      <c r="BF53" s="36">
        <f t="shared" ref="BF53:BF60" si="67">SUM(AX53:BE53)</f>
        <v>0</v>
      </c>
      <c r="BG53" s="36">
        <f>SUM(AL53:AW53)</f>
        <v>0</v>
      </c>
      <c r="BH53" s="35"/>
      <c r="BI53" s="35">
        <f>SUM(N53:Y53)</f>
        <v>0</v>
      </c>
      <c r="BJ53" s="31">
        <f t="shared" ref="BJ53:BJ60" si="68">SUM(BA53:BE53)</f>
        <v>0</v>
      </c>
      <c r="BK53" s="31">
        <f t="shared" ref="BK53:BK60" si="69">SUM(AO53:AZ53)</f>
        <v>0</v>
      </c>
      <c r="BL53" s="31">
        <f>SUM(AC53:AN53)</f>
        <v>0</v>
      </c>
      <c r="BM53" s="31">
        <f>SUM(Q53:AB53)</f>
        <v>0</v>
      </c>
      <c r="BN53" s="31">
        <f>SUM(E53:P53)</f>
        <v>0</v>
      </c>
      <c r="BO53" s="31">
        <f>SUM(B53:D53)</f>
        <v>159.34</v>
      </c>
      <c r="BP53" s="7"/>
      <c r="BQ53" s="7"/>
    </row>
    <row r="54" spans="1:69" s="4" customFormat="1" ht="14.4" x14ac:dyDescent="0.3">
      <c r="A54" s="4" t="s">
        <v>54</v>
      </c>
      <c r="B54" s="12">
        <v>109.5</v>
      </c>
      <c r="C54" s="12">
        <v>49.84</v>
      </c>
      <c r="D54" s="4">
        <f>SUM(D53)</f>
        <v>0</v>
      </c>
      <c r="Q54" s="13"/>
      <c r="R54" s="15"/>
      <c r="S54" s="15"/>
      <c r="T54" s="15"/>
      <c r="U54" s="15"/>
      <c r="V54" s="15"/>
      <c r="W54" s="24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3">
        <f t="shared" ref="AL54:AQ54" si="70">SUM(AL53)</f>
        <v>0</v>
      </c>
      <c r="AM54" s="13">
        <f t="shared" si="70"/>
        <v>0</v>
      </c>
      <c r="AN54" s="13">
        <f t="shared" si="70"/>
        <v>0</v>
      </c>
      <c r="AO54" s="13">
        <f t="shared" si="70"/>
        <v>0</v>
      </c>
      <c r="AP54" s="13">
        <f t="shared" si="70"/>
        <v>0</v>
      </c>
      <c r="AQ54" s="13">
        <f t="shared" si="70"/>
        <v>0</v>
      </c>
      <c r="AR54" s="13">
        <f t="shared" ref="AR54:AX54" si="71">SUM(AR53)</f>
        <v>0</v>
      </c>
      <c r="AS54" s="13">
        <f t="shared" si="71"/>
        <v>0</v>
      </c>
      <c r="AT54" s="13">
        <f t="shared" si="71"/>
        <v>0</v>
      </c>
      <c r="AU54" s="13">
        <f t="shared" si="71"/>
        <v>0</v>
      </c>
      <c r="AV54" s="13">
        <f t="shared" si="71"/>
        <v>0</v>
      </c>
      <c r="AW54" s="13">
        <f t="shared" si="71"/>
        <v>0</v>
      </c>
      <c r="AX54" s="13">
        <f t="shared" si="71"/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39">
        <f t="shared" si="67"/>
        <v>0</v>
      </c>
      <c r="BG54" s="39">
        <f>SUM(AL54:AW54)</f>
        <v>0</v>
      </c>
      <c r="BH54" s="35">
        <f>SUM(Z54:AK54)</f>
        <v>0</v>
      </c>
      <c r="BI54" s="43">
        <f>SUM(N54:Y54)</f>
        <v>0</v>
      </c>
      <c r="BJ54" s="31">
        <f t="shared" si="68"/>
        <v>0</v>
      </c>
      <c r="BK54" s="31">
        <f t="shared" si="69"/>
        <v>0</v>
      </c>
      <c r="BL54" s="32">
        <f>SUM(AC54:AN54)</f>
        <v>0</v>
      </c>
      <c r="BM54" s="32">
        <f>SUM(Q54:AB54)</f>
        <v>0</v>
      </c>
      <c r="BN54" s="32">
        <v>0</v>
      </c>
      <c r="BO54" s="32">
        <f>SUM(B54:D54)</f>
        <v>159.34</v>
      </c>
      <c r="BP54" s="103" t="s">
        <v>169</v>
      </c>
      <c r="BQ54" s="7"/>
    </row>
    <row r="55" spans="1:69" ht="14.4" x14ac:dyDescent="0.3">
      <c r="A55" s="1" t="s">
        <v>55</v>
      </c>
      <c r="Q55" s="16"/>
      <c r="R55" s="17"/>
      <c r="S55" s="17"/>
      <c r="T55" s="17"/>
      <c r="U55" s="17"/>
      <c r="V55" s="17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36">
        <f t="shared" si="67"/>
        <v>0</v>
      </c>
      <c r="BG55" s="36"/>
      <c r="BH55" s="35"/>
      <c r="BI55" s="35"/>
      <c r="BJ55" s="31">
        <f t="shared" si="68"/>
        <v>0</v>
      </c>
      <c r="BK55" s="31">
        <f t="shared" si="69"/>
        <v>0</v>
      </c>
      <c r="BL55" s="31"/>
      <c r="BM55" s="31"/>
      <c r="BN55" s="31"/>
      <c r="BO55" s="31"/>
      <c r="BP55" s="7"/>
      <c r="BQ55" s="7"/>
    </row>
    <row r="56" spans="1:69" ht="14.4" x14ac:dyDescent="0.3">
      <c r="A56" s="1" t="s">
        <v>56</v>
      </c>
      <c r="L56" s="8">
        <v>2017.1</v>
      </c>
      <c r="M56" s="8">
        <v>2350.4299999999998</v>
      </c>
      <c r="Q56" s="9">
        <v>31.38</v>
      </c>
      <c r="R56" s="10"/>
      <c r="S56" s="10"/>
      <c r="T56" s="10">
        <v>2265.58</v>
      </c>
      <c r="U56" s="8">
        <v>90.42</v>
      </c>
      <c r="V56" s="8">
        <v>39.590000000000003</v>
      </c>
      <c r="W56" s="24">
        <v>458.64</v>
      </c>
      <c r="X56" s="8">
        <v>205.84</v>
      </c>
      <c r="Y56" s="8">
        <v>79.209999999999994</v>
      </c>
      <c r="Z56" s="8">
        <v>6022.08</v>
      </c>
      <c r="AA56" s="8"/>
      <c r="AB56" s="8">
        <v>1418.9</v>
      </c>
      <c r="AC56" s="8">
        <v>0</v>
      </c>
      <c r="AD56" s="8">
        <v>653.29</v>
      </c>
      <c r="AE56" s="8">
        <v>453</v>
      </c>
      <c r="AF56" s="8">
        <v>1540.4</v>
      </c>
      <c r="AG56" s="8">
        <v>0</v>
      </c>
      <c r="AH56" s="8">
        <v>79.25</v>
      </c>
      <c r="AI56" s="8">
        <v>119.41</v>
      </c>
      <c r="AJ56" s="8">
        <v>388.81</v>
      </c>
      <c r="AK56" s="8">
        <v>1812.02</v>
      </c>
      <c r="AL56" s="8">
        <v>3814.71</v>
      </c>
      <c r="AM56" s="8">
        <v>824.99</v>
      </c>
      <c r="AN56" s="8">
        <v>0</v>
      </c>
      <c r="AO56" s="8">
        <v>0</v>
      </c>
      <c r="AP56" s="8">
        <v>0</v>
      </c>
      <c r="AQ56" s="8">
        <v>214.32</v>
      </c>
      <c r="AR56" s="8">
        <v>0</v>
      </c>
      <c r="AS56" s="8">
        <v>114</v>
      </c>
      <c r="AT56" s="8">
        <v>2035.92</v>
      </c>
      <c r="AU56" s="8">
        <v>0</v>
      </c>
      <c r="AV56" s="8">
        <v>0</v>
      </c>
      <c r="AW56" s="8">
        <v>5552.76</v>
      </c>
      <c r="AX56" s="8">
        <v>108.75</v>
      </c>
      <c r="AY56" s="8">
        <v>57.23</v>
      </c>
      <c r="AZ56" s="8">
        <v>650</v>
      </c>
      <c r="BA56" s="8">
        <v>325</v>
      </c>
      <c r="BB56" s="8">
        <v>416.2</v>
      </c>
      <c r="BC56" s="8">
        <v>1871.11</v>
      </c>
      <c r="BD56" s="8">
        <v>3611.3</v>
      </c>
      <c r="BE56" s="8">
        <v>0</v>
      </c>
      <c r="BF56" s="36">
        <f t="shared" si="67"/>
        <v>7039.59</v>
      </c>
      <c r="BG56" s="36">
        <f>SUM(AL56:AW56)</f>
        <v>12556.7</v>
      </c>
      <c r="BH56" s="36">
        <f>SUM(Z56:AK56)</f>
        <v>12487.16</v>
      </c>
      <c r="BI56" s="36">
        <f>SUM(N56:Y56)</f>
        <v>3170.6600000000003</v>
      </c>
      <c r="BJ56" s="31">
        <f t="shared" si="68"/>
        <v>6223.6100000000006</v>
      </c>
      <c r="BK56" s="31">
        <f t="shared" si="69"/>
        <v>8732.98</v>
      </c>
      <c r="BL56" s="31">
        <f>SUM(AC56:AN56)</f>
        <v>9685.8799999999992</v>
      </c>
      <c r="BM56" s="31">
        <f>SUM(Q56:AB56)</f>
        <v>10611.64</v>
      </c>
      <c r="BN56" s="31">
        <f>SUM(E56:P56)</f>
        <v>4367.53</v>
      </c>
      <c r="BO56" s="31">
        <f>SUM(B56:D56)</f>
        <v>0</v>
      </c>
      <c r="BP56" s="7"/>
      <c r="BQ56" s="7"/>
    </row>
    <row r="57" spans="1:69" ht="14.4" x14ac:dyDescent="0.3">
      <c r="A57" s="1" t="s">
        <v>57</v>
      </c>
      <c r="C57" s="8">
        <v>77.510000000000005</v>
      </c>
      <c r="D57" s="8">
        <v>0</v>
      </c>
      <c r="G57" s="8">
        <v>81.52</v>
      </c>
      <c r="H57" s="8">
        <v>220.09</v>
      </c>
      <c r="I57" s="8">
        <v>-110.06</v>
      </c>
      <c r="J57" s="8">
        <v>84.44</v>
      </c>
      <c r="O57" s="8">
        <v>254.66</v>
      </c>
      <c r="Q57" s="16"/>
      <c r="R57" s="17"/>
      <c r="S57" s="17"/>
      <c r="T57" s="17"/>
      <c r="W57" s="8">
        <v>65.489999999999995</v>
      </c>
      <c r="X57" s="8">
        <v>314.10000000000002</v>
      </c>
      <c r="Y57" s="8"/>
      <c r="Z57" s="8">
        <v>225.15</v>
      </c>
      <c r="AA57" s="8"/>
      <c r="AB57" s="8"/>
      <c r="AC57" s="8">
        <v>0</v>
      </c>
      <c r="AD57" s="8">
        <v>0</v>
      </c>
      <c r="AE57" s="8">
        <v>0</v>
      </c>
      <c r="AF57" s="8">
        <v>0</v>
      </c>
      <c r="AG57" s="8">
        <v>98.86</v>
      </c>
      <c r="AH57" s="8">
        <v>37.99</v>
      </c>
      <c r="AI57" s="8">
        <v>0</v>
      </c>
      <c r="AJ57" s="8">
        <v>0</v>
      </c>
      <c r="AK57" s="8">
        <v>0</v>
      </c>
      <c r="AL57" s="8">
        <v>405.29</v>
      </c>
      <c r="AM57" s="8">
        <v>0</v>
      </c>
      <c r="AN57" s="8">
        <v>106.46</v>
      </c>
      <c r="AO57" s="8">
        <v>0</v>
      </c>
      <c r="AP57" s="8">
        <v>0</v>
      </c>
      <c r="AQ57" s="8">
        <v>96.6</v>
      </c>
      <c r="AR57" s="8">
        <v>57</v>
      </c>
      <c r="AS57" s="8">
        <v>0</v>
      </c>
      <c r="AT57" s="8">
        <v>71.86</v>
      </c>
      <c r="AU57" s="8">
        <v>0</v>
      </c>
      <c r="AV57" s="8">
        <v>0</v>
      </c>
      <c r="AW57" s="8">
        <v>0</v>
      </c>
      <c r="AX57" s="8">
        <v>33.75</v>
      </c>
      <c r="AY57" s="8">
        <v>124.28</v>
      </c>
      <c r="AZ57" s="8">
        <v>176</v>
      </c>
      <c r="BA57" s="8" t="s">
        <v>133</v>
      </c>
      <c r="BB57" s="8"/>
      <c r="BC57" s="8"/>
      <c r="BD57" s="8"/>
      <c r="BE57" s="8"/>
      <c r="BF57" s="36">
        <f t="shared" si="67"/>
        <v>334.03</v>
      </c>
      <c r="BG57" s="36">
        <f>SUM(AL57:AW57)</f>
        <v>737.21</v>
      </c>
      <c r="BH57" s="36">
        <f>SUM(Z57:AK57)</f>
        <v>362</v>
      </c>
      <c r="BI57" s="36">
        <f>SUM(N57:Y57)</f>
        <v>634.25</v>
      </c>
      <c r="BJ57" s="31">
        <f t="shared" si="68"/>
        <v>0</v>
      </c>
      <c r="BK57" s="31">
        <f t="shared" si="69"/>
        <v>559.49</v>
      </c>
      <c r="BL57" s="31">
        <f>SUM(AC57:AN57)</f>
        <v>648.6</v>
      </c>
      <c r="BM57" s="31">
        <f>SUM(Q57:AB57)</f>
        <v>604.74</v>
      </c>
      <c r="BN57" s="31">
        <f>SUM(E57:P57)</f>
        <v>530.65</v>
      </c>
      <c r="BO57" s="31">
        <f>SUM(B57:D57)</f>
        <v>77.510000000000005</v>
      </c>
      <c r="BP57" s="7"/>
      <c r="BQ57" s="7"/>
    </row>
    <row r="58" spans="1:69" ht="14.4" x14ac:dyDescent="0.3">
      <c r="A58" s="1" t="s">
        <v>58</v>
      </c>
      <c r="C58" s="8">
        <v>112.52</v>
      </c>
      <c r="D58" s="8">
        <v>0</v>
      </c>
      <c r="G58" s="8">
        <v>2353.41</v>
      </c>
      <c r="H58" s="8">
        <v>6760</v>
      </c>
      <c r="I58" s="8">
        <v>2453.44</v>
      </c>
      <c r="J58" s="8">
        <v>1760</v>
      </c>
      <c r="K58" s="8">
        <v>1760</v>
      </c>
      <c r="M58" s="8">
        <v>3633</v>
      </c>
      <c r="N58" s="8">
        <v>2047.1</v>
      </c>
      <c r="O58" s="8">
        <v>1964.17</v>
      </c>
      <c r="P58" s="8">
        <v>1855.44</v>
      </c>
      <c r="Q58" s="9">
        <v>2277.36</v>
      </c>
      <c r="R58" s="10">
        <v>2007.9</v>
      </c>
      <c r="S58" s="10">
        <v>3788.92</v>
      </c>
      <c r="T58" s="10">
        <v>2411.16</v>
      </c>
      <c r="U58" s="8">
        <v>2411.16</v>
      </c>
      <c r="V58" s="8">
        <v>2465.9</v>
      </c>
      <c r="W58" s="8">
        <v>2434.9299999999998</v>
      </c>
      <c r="X58" s="8">
        <v>2356.38</v>
      </c>
      <c r="Y58" s="8">
        <v>530.12</v>
      </c>
      <c r="Z58" s="8">
        <v>3469.46</v>
      </c>
      <c r="AA58" s="8">
        <v>5290.67</v>
      </c>
      <c r="AB58" s="8">
        <v>1796.31</v>
      </c>
      <c r="AC58" s="8">
        <v>8244.14</v>
      </c>
      <c r="AD58" s="8">
        <v>1281.6500000000001</v>
      </c>
      <c r="AE58" s="8">
        <v>7149.43</v>
      </c>
      <c r="AF58" s="8">
        <v>31.45</v>
      </c>
      <c r="AG58" s="8">
        <v>316.08</v>
      </c>
      <c r="AH58" s="8">
        <v>7561.56</v>
      </c>
      <c r="AI58" s="8">
        <v>1788.05</v>
      </c>
      <c r="AJ58" s="8">
        <v>2536.2399999999998</v>
      </c>
      <c r="AK58" s="8">
        <v>7354.48</v>
      </c>
      <c r="AL58" s="8">
        <v>1673.53</v>
      </c>
      <c r="AM58" s="8">
        <v>768.83</v>
      </c>
      <c r="AN58" s="8">
        <v>9495.94</v>
      </c>
      <c r="AO58" s="8">
        <v>537.85</v>
      </c>
      <c r="AP58" s="8">
        <v>3660.8</v>
      </c>
      <c r="AQ58" s="8">
        <v>9373.39</v>
      </c>
      <c r="AR58" s="8">
        <v>2942.42</v>
      </c>
      <c r="AS58" s="8">
        <v>3247.69</v>
      </c>
      <c r="AT58" s="8">
        <v>5482.55</v>
      </c>
      <c r="AU58" s="8">
        <v>3546.24</v>
      </c>
      <c r="AV58" s="8">
        <v>5080.71</v>
      </c>
      <c r="AW58" s="8">
        <v>3334.99</v>
      </c>
      <c r="AX58" s="8">
        <v>3561.26</v>
      </c>
      <c r="AY58" s="8">
        <v>7564.72</v>
      </c>
      <c r="AZ58" s="8">
        <v>6498.85</v>
      </c>
      <c r="BA58" s="8">
        <v>5960.13</v>
      </c>
      <c r="BB58" s="8">
        <v>5134.04</v>
      </c>
      <c r="BC58" s="8">
        <v>4111.62</v>
      </c>
      <c r="BD58" s="8">
        <v>5703.73</v>
      </c>
      <c r="BE58" s="8">
        <v>7567.95</v>
      </c>
      <c r="BF58" s="36">
        <f t="shared" si="67"/>
        <v>46102.3</v>
      </c>
      <c r="BG58" s="36">
        <f>SUM(AL58:AW58)</f>
        <v>49144.939999999995</v>
      </c>
      <c r="BH58" s="36">
        <f>SUM(Z58:AK58)</f>
        <v>46819.520000000004</v>
      </c>
      <c r="BI58" s="36">
        <f>SUM(N58:Y58)</f>
        <v>26550.54</v>
      </c>
      <c r="BJ58" s="31">
        <f t="shared" si="68"/>
        <v>28477.47</v>
      </c>
      <c r="BK58" s="31">
        <f t="shared" si="69"/>
        <v>54831.469999999994</v>
      </c>
      <c r="BL58" s="31">
        <f>SUM(AC58:AN58)</f>
        <v>48201.380000000005</v>
      </c>
      <c r="BM58" s="31">
        <f>SUM(Q58:AB58)</f>
        <v>31240.27</v>
      </c>
      <c r="BN58" s="31">
        <f>SUM(E58:P58)</f>
        <v>24586.559999999994</v>
      </c>
      <c r="BO58" s="31">
        <f>SUM(B58:D58)</f>
        <v>112.52</v>
      </c>
      <c r="BP58" s="7"/>
      <c r="BQ58" s="7"/>
    </row>
    <row r="59" spans="1:69" ht="14.4" x14ac:dyDescent="0.3">
      <c r="A59" s="1" t="s">
        <v>59</v>
      </c>
      <c r="B59" s="8">
        <v>87.62</v>
      </c>
      <c r="D59" s="8">
        <v>-436.36</v>
      </c>
      <c r="F59" s="8">
        <v>54.62</v>
      </c>
      <c r="G59" s="8">
        <v>51.74</v>
      </c>
      <c r="I59" s="8">
        <v>50.83</v>
      </c>
      <c r="L59" s="8">
        <v>135.71</v>
      </c>
      <c r="M59" s="8">
        <v>52.07</v>
      </c>
      <c r="N59" s="8">
        <v>80.97</v>
      </c>
      <c r="O59" s="8"/>
      <c r="P59" s="8">
        <v>119.05</v>
      </c>
      <c r="Q59" s="9">
        <v>-43.8</v>
      </c>
      <c r="R59" s="10">
        <v>86.36</v>
      </c>
      <c r="S59" s="10">
        <v>86.34</v>
      </c>
      <c r="T59" s="10">
        <v>125.47</v>
      </c>
      <c r="U59" s="8">
        <v>48.94</v>
      </c>
      <c r="V59" s="8">
        <v>117.08</v>
      </c>
      <c r="W59" s="8">
        <v>69</v>
      </c>
      <c r="X59" s="8">
        <v>69.150000000000006</v>
      </c>
      <c r="Y59" s="8">
        <v>129.6</v>
      </c>
      <c r="Z59" s="8">
        <v>69.430000000000007</v>
      </c>
      <c r="AA59" s="8">
        <v>132.03</v>
      </c>
      <c r="AB59" s="8">
        <v>1879.04</v>
      </c>
      <c r="AC59" s="8">
        <v>0</v>
      </c>
      <c r="AD59" s="8">
        <v>71.62</v>
      </c>
      <c r="AE59" s="8">
        <v>81.599999999999994</v>
      </c>
      <c r="AF59" s="8">
        <v>78.12</v>
      </c>
      <c r="AG59" s="8">
        <v>147.1</v>
      </c>
      <c r="AH59" s="8">
        <v>78.38</v>
      </c>
      <c r="AI59" s="8">
        <v>7.4</v>
      </c>
      <c r="AJ59" s="8">
        <v>74.48</v>
      </c>
      <c r="AK59" s="8">
        <v>77.11</v>
      </c>
      <c r="AL59" s="8">
        <v>93.11</v>
      </c>
      <c r="AM59" s="8">
        <v>5.91</v>
      </c>
      <c r="AN59" s="8">
        <v>71</v>
      </c>
      <c r="AO59" s="8">
        <v>77.739999999999995</v>
      </c>
      <c r="AP59" s="8">
        <v>80.44</v>
      </c>
      <c r="AQ59" s="8">
        <v>75.58</v>
      </c>
      <c r="AR59" s="8">
        <v>78.569999999999993</v>
      </c>
      <c r="AS59" s="8">
        <v>78.86</v>
      </c>
      <c r="AT59" s="8">
        <v>78.92</v>
      </c>
      <c r="AU59" s="8">
        <v>79.69</v>
      </c>
      <c r="AV59" s="8">
        <v>80.52</v>
      </c>
      <c r="AW59" s="8">
        <v>81.93</v>
      </c>
      <c r="AX59" s="8">
        <v>79.36</v>
      </c>
      <c r="AY59" s="8">
        <v>76.02</v>
      </c>
      <c r="AZ59" s="8">
        <v>77.13</v>
      </c>
      <c r="BA59" s="8">
        <v>77.52</v>
      </c>
      <c r="BB59" s="8">
        <v>53.5</v>
      </c>
      <c r="BC59" s="8">
        <v>138.71</v>
      </c>
      <c r="BD59" s="8">
        <v>0</v>
      </c>
      <c r="BE59" s="8">
        <v>66.11</v>
      </c>
      <c r="BF59" s="36">
        <f t="shared" si="67"/>
        <v>568.35</v>
      </c>
      <c r="BG59" s="36">
        <f>SUM(AL59:AW59)</f>
        <v>882.27</v>
      </c>
      <c r="BH59" s="36">
        <f>SUM(Z59:AK59)</f>
        <v>2696.31</v>
      </c>
      <c r="BI59" s="36">
        <f>SUM(N59:Y59)</f>
        <v>888.16</v>
      </c>
      <c r="BJ59" s="31">
        <f t="shared" si="68"/>
        <v>335.84000000000003</v>
      </c>
      <c r="BK59" s="31">
        <f t="shared" si="69"/>
        <v>944.76</v>
      </c>
      <c r="BL59" s="31">
        <f>SUM(AC59:AN59)</f>
        <v>785.82999999999993</v>
      </c>
      <c r="BM59" s="31">
        <f>SUM(Q59:AB59)</f>
        <v>2768.64</v>
      </c>
      <c r="BN59" s="31">
        <f>SUM(E59:P59)</f>
        <v>544.9899999999999</v>
      </c>
      <c r="BO59" s="31">
        <f>SUM(B59:D59)</f>
        <v>-348.74</v>
      </c>
      <c r="BP59" s="7"/>
      <c r="BQ59" s="7"/>
    </row>
    <row r="60" spans="1:69" s="4" customFormat="1" ht="14.4" x14ac:dyDescent="0.3">
      <c r="A60" s="4" t="s">
        <v>60</v>
      </c>
      <c r="B60" s="12">
        <v>87.62</v>
      </c>
      <c r="C60" s="12">
        <v>190.03</v>
      </c>
      <c r="D60" s="12">
        <f>SUM(D56:D59)</f>
        <v>-436.36</v>
      </c>
      <c r="F60" s="12">
        <v>54.62</v>
      </c>
      <c r="G60" s="12">
        <v>2486.67</v>
      </c>
      <c r="H60" s="12">
        <v>6980.09</v>
      </c>
      <c r="I60" s="12">
        <v>2394.21</v>
      </c>
      <c r="J60" s="12">
        <v>1844.44</v>
      </c>
      <c r="K60" s="12">
        <v>1760</v>
      </c>
      <c r="L60" s="12">
        <v>2152.81</v>
      </c>
      <c r="M60" s="12">
        <v>6035.5</v>
      </c>
      <c r="N60" s="12">
        <v>2128.0700000000002</v>
      </c>
      <c r="O60" s="12">
        <v>2218.83</v>
      </c>
      <c r="P60" s="12">
        <v>1974.49</v>
      </c>
      <c r="Q60" s="13">
        <f t="shared" ref="Q60:AB60" si="72">SUM(Q56:Q59)</f>
        <v>2264.94</v>
      </c>
      <c r="R60" s="13">
        <f t="shared" si="72"/>
        <v>2094.2600000000002</v>
      </c>
      <c r="S60" s="13">
        <f t="shared" si="72"/>
        <v>3875.26</v>
      </c>
      <c r="T60" s="13">
        <f t="shared" si="72"/>
        <v>4802.21</v>
      </c>
      <c r="U60" s="13">
        <f t="shared" si="72"/>
        <v>2550.52</v>
      </c>
      <c r="V60" s="13">
        <f t="shared" si="72"/>
        <v>2622.57</v>
      </c>
      <c r="W60" s="13">
        <f t="shared" si="72"/>
        <v>3028.06</v>
      </c>
      <c r="X60" s="13">
        <f t="shared" si="72"/>
        <v>2945.4700000000003</v>
      </c>
      <c r="Y60" s="13">
        <f t="shared" si="72"/>
        <v>738.93000000000006</v>
      </c>
      <c r="Z60" s="13">
        <f t="shared" si="72"/>
        <v>9786.119999999999</v>
      </c>
      <c r="AA60" s="13">
        <f t="shared" si="72"/>
        <v>5422.7</v>
      </c>
      <c r="AB60" s="13">
        <f t="shared" si="72"/>
        <v>5094.25</v>
      </c>
      <c r="AC60" s="13">
        <f t="shared" ref="AC60:AD60" si="73">SUM(AC56:AC59)</f>
        <v>8244.14</v>
      </c>
      <c r="AD60" s="13">
        <f t="shared" si="73"/>
        <v>2006.56</v>
      </c>
      <c r="AE60" s="13">
        <f t="shared" ref="AE60:AF60" si="74">SUM(AE56:AE59)</f>
        <v>7684.0300000000007</v>
      </c>
      <c r="AF60" s="13">
        <f t="shared" si="74"/>
        <v>1649.9700000000003</v>
      </c>
      <c r="AG60" s="13">
        <f t="shared" ref="AG60:AH60" si="75">SUM(AG56:AG59)</f>
        <v>562.04</v>
      </c>
      <c r="AH60" s="13">
        <f t="shared" si="75"/>
        <v>7757.18</v>
      </c>
      <c r="AI60" s="13">
        <f t="shared" ref="AI60:AJ60" si="76">SUM(AI56:AI59)</f>
        <v>1914.8600000000001</v>
      </c>
      <c r="AJ60" s="13">
        <f t="shared" si="76"/>
        <v>2999.5299999999997</v>
      </c>
      <c r="AK60" s="13">
        <f t="shared" ref="AK60" si="77">SUM(AK56:AK59)</f>
        <v>9243.61</v>
      </c>
      <c r="AL60" s="13">
        <f t="shared" ref="AL60:AM60" si="78">SUM(AL56:AL59)</f>
        <v>5986.6399999999994</v>
      </c>
      <c r="AM60" s="13">
        <f t="shared" si="78"/>
        <v>1599.7300000000002</v>
      </c>
      <c r="AN60" s="13">
        <f t="shared" ref="AN60:AQ60" si="79">SUM(AN56:AN59)</f>
        <v>9673.4</v>
      </c>
      <c r="AO60" s="13">
        <f t="shared" si="79"/>
        <v>615.59</v>
      </c>
      <c r="AP60" s="13">
        <f t="shared" si="79"/>
        <v>3741.2400000000002</v>
      </c>
      <c r="AQ60" s="13">
        <f t="shared" si="79"/>
        <v>9759.89</v>
      </c>
      <c r="AR60" s="13">
        <f t="shared" ref="AR60:BE60" si="80">SUM(AR56:AR59)</f>
        <v>3077.9900000000002</v>
      </c>
      <c r="AS60" s="13">
        <f t="shared" si="80"/>
        <v>3440.55</v>
      </c>
      <c r="AT60" s="13">
        <f t="shared" si="80"/>
        <v>7669.25</v>
      </c>
      <c r="AU60" s="13">
        <f t="shared" si="80"/>
        <v>3625.93</v>
      </c>
      <c r="AV60" s="13">
        <f t="shared" si="80"/>
        <v>5161.2300000000005</v>
      </c>
      <c r="AW60" s="13">
        <f t="shared" si="80"/>
        <v>8969.68</v>
      </c>
      <c r="AX60" s="13">
        <f t="shared" si="80"/>
        <v>3783.1200000000003</v>
      </c>
      <c r="AY60" s="13">
        <f t="shared" si="80"/>
        <v>7822.2500000000009</v>
      </c>
      <c r="AZ60" s="13">
        <f t="shared" si="80"/>
        <v>7401.9800000000005</v>
      </c>
      <c r="BA60" s="13">
        <f t="shared" si="80"/>
        <v>6362.6500000000005</v>
      </c>
      <c r="BB60" s="13">
        <f t="shared" si="80"/>
        <v>5603.74</v>
      </c>
      <c r="BC60" s="13">
        <f t="shared" si="80"/>
        <v>6121.44</v>
      </c>
      <c r="BD60" s="13">
        <f t="shared" si="80"/>
        <v>9315.0299999999988</v>
      </c>
      <c r="BE60" s="13">
        <f t="shared" si="80"/>
        <v>7634.0599999999995</v>
      </c>
      <c r="BF60" s="39">
        <f t="shared" si="67"/>
        <v>54044.270000000004</v>
      </c>
      <c r="BG60" s="39">
        <f>SUM(AL60:AW60)</f>
        <v>63321.12000000001</v>
      </c>
      <c r="BH60" s="37">
        <f>SUM(Z60:AK60)</f>
        <v>62364.990000000005</v>
      </c>
      <c r="BI60" s="37">
        <f>SUM(N60:Y60)</f>
        <v>31243.610000000004</v>
      </c>
      <c r="BJ60" s="32">
        <f t="shared" si="68"/>
        <v>35036.92</v>
      </c>
      <c r="BK60" s="32">
        <f t="shared" si="69"/>
        <v>65068.700000000004</v>
      </c>
      <c r="BL60" s="32">
        <f>SUM(AC60:AN60)</f>
        <v>59321.69000000001</v>
      </c>
      <c r="BM60" s="32">
        <f>SUM(Q60:AB60)</f>
        <v>45225.29</v>
      </c>
      <c r="BN60" s="32">
        <f>SUM(E60:P60)</f>
        <v>30029.73</v>
      </c>
      <c r="BO60" s="32">
        <f>SUM(B60:D60)</f>
        <v>-158.71000000000004</v>
      </c>
      <c r="BP60" s="103" t="s">
        <v>169</v>
      </c>
      <c r="BQ60" s="7"/>
    </row>
    <row r="61" spans="1:69" ht="14.4" x14ac:dyDescent="0.3">
      <c r="A61" s="1" t="s">
        <v>61</v>
      </c>
      <c r="Q61" s="16"/>
      <c r="R61" s="17"/>
      <c r="S61" s="17"/>
      <c r="T61" s="17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36"/>
      <c r="BG61" s="36"/>
      <c r="BH61" s="35"/>
      <c r="BI61" s="35"/>
      <c r="BJ61" s="32"/>
      <c r="BK61" s="32"/>
      <c r="BL61" s="31"/>
      <c r="BM61" s="31"/>
      <c r="BN61" s="31"/>
      <c r="BO61" s="31"/>
      <c r="BP61" s="7"/>
      <c r="BQ61" s="7"/>
    </row>
    <row r="62" spans="1:69" ht="14.4" x14ac:dyDescent="0.3">
      <c r="A62" s="1" t="s">
        <v>62</v>
      </c>
      <c r="D62" s="1">
        <v>0</v>
      </c>
      <c r="E62" s="8">
        <v>459.34</v>
      </c>
      <c r="I62" s="8">
        <v>459.34</v>
      </c>
      <c r="Q62" s="9">
        <v>75.3</v>
      </c>
      <c r="R62" s="10">
        <v>77.81</v>
      </c>
      <c r="S62" s="10">
        <v>75.3</v>
      </c>
      <c r="T62" s="10">
        <v>77.81</v>
      </c>
      <c r="U62" s="8">
        <v>77.81</v>
      </c>
      <c r="V62" s="8">
        <v>75.31</v>
      </c>
      <c r="W62" s="8">
        <v>81.31</v>
      </c>
      <c r="X62" s="8">
        <v>78.69</v>
      </c>
      <c r="Y62" s="8">
        <v>81.31</v>
      </c>
      <c r="Z62" s="8">
        <v>81.31</v>
      </c>
      <c r="AA62" s="8">
        <v>76.069999999999993</v>
      </c>
      <c r="AB62" s="8">
        <v>586.29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 t="s">
        <v>133</v>
      </c>
      <c r="BB62" s="8"/>
      <c r="BC62" s="8"/>
      <c r="BD62" s="8"/>
      <c r="BE62" s="8"/>
      <c r="BF62" s="36">
        <f t="shared" ref="BF62:BF74" si="81">SUM(AX62:BE62)</f>
        <v>0</v>
      </c>
      <c r="BG62" s="36">
        <f>SUM(AL62:AW62)</f>
        <v>0</v>
      </c>
      <c r="BH62" s="36"/>
      <c r="BI62" s="36">
        <f>SUM(N62:Y62)</f>
        <v>700.65000000000009</v>
      </c>
      <c r="BJ62" s="31">
        <f t="shared" ref="BJ62:BJ74" si="82">SUM(BA62:BE62)</f>
        <v>0</v>
      </c>
      <c r="BK62" s="31">
        <f t="shared" ref="BK62:BK74" si="83">SUM(AO62:AZ62)</f>
        <v>0</v>
      </c>
      <c r="BL62" s="31">
        <f>SUM(AC62:AN62)</f>
        <v>0</v>
      </c>
      <c r="BM62" s="31">
        <f>SUM(Q62:AB62)</f>
        <v>1444.32</v>
      </c>
      <c r="BN62" s="31">
        <f>SUM(E62:P62)</f>
        <v>918.68</v>
      </c>
      <c r="BO62" s="31">
        <f>SUM(B62:D62)</f>
        <v>0</v>
      </c>
      <c r="BP62" s="7"/>
      <c r="BQ62" s="7"/>
    </row>
    <row r="63" spans="1:69" s="4" customFormat="1" ht="14.4" x14ac:dyDescent="0.3">
      <c r="A63" s="4" t="s">
        <v>63</v>
      </c>
      <c r="D63" s="4">
        <v>0</v>
      </c>
      <c r="E63" s="12">
        <v>459.34</v>
      </c>
      <c r="I63" s="12">
        <v>459.34</v>
      </c>
      <c r="Q63" s="13">
        <f t="shared" ref="Q63:AB63" si="84">SUM(Q62)</f>
        <v>75.3</v>
      </c>
      <c r="R63" s="13">
        <f t="shared" si="84"/>
        <v>77.81</v>
      </c>
      <c r="S63" s="13">
        <f t="shared" si="84"/>
        <v>75.3</v>
      </c>
      <c r="T63" s="13">
        <f t="shared" si="84"/>
        <v>77.81</v>
      </c>
      <c r="U63" s="12">
        <v>77.81</v>
      </c>
      <c r="V63" s="12">
        <v>75.31</v>
      </c>
      <c r="W63" s="13">
        <f t="shared" si="84"/>
        <v>81.31</v>
      </c>
      <c r="X63" s="13">
        <f>SUM(X62)</f>
        <v>78.69</v>
      </c>
      <c r="Y63" s="13">
        <f t="shared" ref="Y63" si="85">SUM(Y62)</f>
        <v>81.31</v>
      </c>
      <c r="Z63" s="13">
        <f t="shared" ref="Z63" si="86">SUM(Z62)</f>
        <v>81.31</v>
      </c>
      <c r="AA63" s="13">
        <f t="shared" ref="AA63" si="87">SUM(AA62)</f>
        <v>76.069999999999993</v>
      </c>
      <c r="AB63" s="13">
        <f t="shared" si="84"/>
        <v>586.29</v>
      </c>
      <c r="AC63" s="13">
        <f t="shared" ref="AC63:AD63" si="88">SUM(AC62)</f>
        <v>0</v>
      </c>
      <c r="AD63" s="13">
        <f t="shared" si="88"/>
        <v>0</v>
      </c>
      <c r="AE63" s="13">
        <f t="shared" ref="AE63:AF63" si="89">SUM(AE62)</f>
        <v>0</v>
      </c>
      <c r="AF63" s="13">
        <f t="shared" si="89"/>
        <v>0</v>
      </c>
      <c r="AG63" s="13">
        <f t="shared" ref="AG63:AH63" si="90">SUM(AG62)</f>
        <v>0</v>
      </c>
      <c r="AH63" s="13">
        <f t="shared" si="90"/>
        <v>0</v>
      </c>
      <c r="AI63" s="13">
        <f t="shared" ref="AI63:AJ63" si="91">SUM(AI62)</f>
        <v>0</v>
      </c>
      <c r="AJ63" s="13">
        <f t="shared" si="91"/>
        <v>0</v>
      </c>
      <c r="AK63" s="13">
        <f t="shared" ref="AK63" si="92">SUM(AK62)</f>
        <v>0</v>
      </c>
      <c r="AL63" s="13">
        <f t="shared" ref="AL63:AM63" si="93">SUM(AL62)</f>
        <v>0</v>
      </c>
      <c r="AM63" s="13">
        <f t="shared" si="93"/>
        <v>0</v>
      </c>
      <c r="AN63" s="13">
        <f t="shared" ref="AN63:AQ63" si="94">SUM(AN62)</f>
        <v>0</v>
      </c>
      <c r="AO63" s="13">
        <f t="shared" si="94"/>
        <v>0</v>
      </c>
      <c r="AP63" s="13">
        <f t="shared" si="94"/>
        <v>0</v>
      </c>
      <c r="AQ63" s="13">
        <f t="shared" si="94"/>
        <v>0</v>
      </c>
      <c r="AR63" s="13">
        <f t="shared" ref="AR63" si="95">SUM(AR62)</f>
        <v>0</v>
      </c>
      <c r="AS63" s="13">
        <f t="shared" ref="AS63:BC63" si="96">SUM(AS62)</f>
        <v>0</v>
      </c>
      <c r="AT63" s="13">
        <f t="shared" si="96"/>
        <v>0</v>
      </c>
      <c r="AU63" s="13">
        <f t="shared" si="96"/>
        <v>0</v>
      </c>
      <c r="AV63" s="13">
        <f t="shared" si="96"/>
        <v>0</v>
      </c>
      <c r="AW63" s="13">
        <f t="shared" si="96"/>
        <v>0</v>
      </c>
      <c r="AX63" s="13">
        <f t="shared" si="96"/>
        <v>0</v>
      </c>
      <c r="AY63" s="13">
        <f t="shared" si="96"/>
        <v>0</v>
      </c>
      <c r="AZ63" s="13">
        <f t="shared" si="96"/>
        <v>0</v>
      </c>
      <c r="BA63" s="13">
        <f t="shared" si="96"/>
        <v>0</v>
      </c>
      <c r="BB63" s="13">
        <f t="shared" si="96"/>
        <v>0</v>
      </c>
      <c r="BC63" s="13">
        <f t="shared" si="96"/>
        <v>0</v>
      </c>
      <c r="BD63" s="13">
        <f>SUM(BD62)</f>
        <v>0</v>
      </c>
      <c r="BE63" s="13">
        <f>SUM(BE62)</f>
        <v>0</v>
      </c>
      <c r="BF63" s="39">
        <f t="shared" si="81"/>
        <v>0</v>
      </c>
      <c r="BG63" s="39">
        <f>SUM(AL63:AW63)</f>
        <v>0</v>
      </c>
      <c r="BH63" s="37">
        <f>SUM(Z63:AK63)</f>
        <v>743.67</v>
      </c>
      <c r="BI63" s="37">
        <f>SUM(N63:Y63)</f>
        <v>700.65000000000009</v>
      </c>
      <c r="BJ63" s="31">
        <f t="shared" si="82"/>
        <v>0</v>
      </c>
      <c r="BK63" s="31">
        <f t="shared" si="83"/>
        <v>0</v>
      </c>
      <c r="BL63" s="32">
        <f>SUM(AC63:AN63)</f>
        <v>0</v>
      </c>
      <c r="BM63" s="32">
        <f>SUM(Q63:AB63)</f>
        <v>1444.32</v>
      </c>
      <c r="BN63" s="32">
        <f>SUM(E63:P63)</f>
        <v>918.68</v>
      </c>
      <c r="BO63" s="32">
        <f>SUM(B63:D63)</f>
        <v>0</v>
      </c>
      <c r="BP63" s="103" t="s">
        <v>169</v>
      </c>
      <c r="BQ63" s="7"/>
    </row>
    <row r="64" spans="1:69" ht="14.4" x14ac:dyDescent="0.3">
      <c r="A64" s="1" t="s">
        <v>64</v>
      </c>
      <c r="Q64" s="16"/>
      <c r="R64" s="17"/>
      <c r="S64" s="17"/>
      <c r="T64" s="17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36">
        <f t="shared" si="81"/>
        <v>0</v>
      </c>
      <c r="BG64" s="36"/>
      <c r="BH64" s="35"/>
      <c r="BI64" s="35"/>
      <c r="BJ64" s="31">
        <f t="shared" si="82"/>
        <v>0</v>
      </c>
      <c r="BK64" s="31">
        <f t="shared" si="83"/>
        <v>0</v>
      </c>
      <c r="BL64" s="31"/>
      <c r="BM64" s="31"/>
      <c r="BN64" s="31"/>
      <c r="BO64" s="31"/>
      <c r="BP64" s="7"/>
      <c r="BQ64" s="7"/>
    </row>
    <row r="65" spans="1:69" ht="14.4" x14ac:dyDescent="0.3">
      <c r="A65" s="1" t="s">
        <v>65</v>
      </c>
      <c r="C65" s="8">
        <v>5000</v>
      </c>
      <c r="H65" s="8">
        <v>9600</v>
      </c>
      <c r="I65" s="8">
        <v>8925</v>
      </c>
      <c r="J65" s="8">
        <v>1813</v>
      </c>
      <c r="K65" s="8">
        <v>5155</v>
      </c>
      <c r="L65" s="8">
        <v>16221</v>
      </c>
      <c r="M65" s="8">
        <v>4850</v>
      </c>
      <c r="N65" s="8">
        <v>6674</v>
      </c>
      <c r="O65" s="8">
        <v>-1183.24</v>
      </c>
      <c r="P65" s="8">
        <v>1235.07</v>
      </c>
      <c r="Q65" s="9">
        <v>2518</v>
      </c>
      <c r="R65" s="10">
        <v>9498</v>
      </c>
      <c r="S65" s="10">
        <v>7901.07</v>
      </c>
      <c r="T65" s="10">
        <v>3320</v>
      </c>
      <c r="U65" s="8">
        <v>4150</v>
      </c>
      <c r="V65" s="8">
        <v>2765.07</v>
      </c>
      <c r="W65" s="8">
        <v>1950</v>
      </c>
      <c r="X65" s="8">
        <v>4960</v>
      </c>
      <c r="Y65" s="8">
        <v>8852.5</v>
      </c>
      <c r="Z65" s="8">
        <v>2768.47</v>
      </c>
      <c r="AA65" s="8">
        <v>4446.78</v>
      </c>
      <c r="AB65" s="8">
        <v>2966.58</v>
      </c>
      <c r="AC65" s="8">
        <v>5640</v>
      </c>
      <c r="AD65" s="8">
        <v>3099.96</v>
      </c>
      <c r="AE65" s="8">
        <v>1755</v>
      </c>
      <c r="AF65" s="8">
        <v>8282.9</v>
      </c>
      <c r="AG65" s="8">
        <v>2971.32</v>
      </c>
      <c r="AH65" s="8">
        <v>2953.25</v>
      </c>
      <c r="AI65" s="8">
        <v>3395.31</v>
      </c>
      <c r="AJ65" s="8">
        <v>10372.85</v>
      </c>
      <c r="AK65" s="8">
        <v>6817.75</v>
      </c>
      <c r="AL65" s="8">
        <v>7032.5</v>
      </c>
      <c r="AM65" s="8">
        <v>1217.5</v>
      </c>
      <c r="AN65" s="8">
        <v>2234.04</v>
      </c>
      <c r="AO65" s="8">
        <v>675</v>
      </c>
      <c r="AP65" s="8">
        <v>13179.5</v>
      </c>
      <c r="AQ65" s="8">
        <v>19187.04</v>
      </c>
      <c r="AR65" s="8">
        <v>0</v>
      </c>
      <c r="AS65" s="8">
        <v>0</v>
      </c>
      <c r="AT65" s="8">
        <v>2290.04</v>
      </c>
      <c r="AU65" s="8">
        <v>771.61</v>
      </c>
      <c r="AV65" s="8">
        <v>1208.5</v>
      </c>
      <c r="AW65" s="8">
        <v>1521.61</v>
      </c>
      <c r="AX65" s="8">
        <v>96.61</v>
      </c>
      <c r="AY65" s="8">
        <v>87.26</v>
      </c>
      <c r="AZ65" s="8">
        <v>19747.21</v>
      </c>
      <c r="BA65" s="8">
        <v>-2782.92</v>
      </c>
      <c r="BB65" s="8">
        <v>16950.080000000002</v>
      </c>
      <c r="BC65" s="8">
        <v>1053.23</v>
      </c>
      <c r="BD65" s="8">
        <v>2534.0300000000002</v>
      </c>
      <c r="BE65" s="8">
        <v>3623.75</v>
      </c>
      <c r="BF65" s="36">
        <f t="shared" si="81"/>
        <v>41309.25</v>
      </c>
      <c r="BG65" s="36">
        <f t="shared" ref="BG65:BG74" si="97">SUM(AL65:AW65)</f>
        <v>49317.340000000004</v>
      </c>
      <c r="BH65" s="36">
        <f>SUM(Z65:AK65)</f>
        <v>55470.17</v>
      </c>
      <c r="BI65" s="36">
        <f t="shared" ref="BI65:BI74" si="98">SUM(N65:Y65)</f>
        <v>52640.47</v>
      </c>
      <c r="BJ65" s="31">
        <f t="shared" si="82"/>
        <v>21378.170000000002</v>
      </c>
      <c r="BK65" s="31">
        <f t="shared" si="83"/>
        <v>58764.380000000005</v>
      </c>
      <c r="BL65" s="31">
        <f t="shared" ref="BL65:BL74" si="99">SUM(AC65:AN65)</f>
        <v>55772.380000000005</v>
      </c>
      <c r="BM65" s="31">
        <f t="shared" ref="BM65:BM74" si="100">SUM(Q65:AB65)</f>
        <v>56096.47</v>
      </c>
      <c r="BN65" s="31">
        <f t="shared" ref="BN65:BN74" si="101">SUM(E65:P65)</f>
        <v>53289.83</v>
      </c>
      <c r="BO65" s="31">
        <f t="shared" ref="BO65:BO74" si="102">SUM(B65:D65)</f>
        <v>5000</v>
      </c>
      <c r="BP65"/>
      <c r="BQ65" s="7"/>
    </row>
    <row r="66" spans="1:69" ht="14.4" x14ac:dyDescent="0.3">
      <c r="A66" s="1" t="s">
        <v>66</v>
      </c>
      <c r="B66" s="8">
        <v>225</v>
      </c>
      <c r="C66" s="8">
        <v>225</v>
      </c>
      <c r="D66" s="8">
        <v>225</v>
      </c>
      <c r="E66" s="8">
        <v>225</v>
      </c>
      <c r="F66" s="8">
        <v>225</v>
      </c>
      <c r="G66" s="8">
        <v>225</v>
      </c>
      <c r="H66" s="8">
        <v>225</v>
      </c>
      <c r="I66" s="8">
        <v>225</v>
      </c>
      <c r="J66" s="8">
        <v>225</v>
      </c>
      <c r="K66" s="8">
        <v>225</v>
      </c>
      <c r="L66" s="8">
        <v>225</v>
      </c>
      <c r="M66" s="8">
        <v>225</v>
      </c>
      <c r="N66" s="8">
        <v>275.56</v>
      </c>
      <c r="O66" s="8">
        <v>248.89</v>
      </c>
      <c r="P66" s="8">
        <v>275.55</v>
      </c>
      <c r="Q66" s="9">
        <v>1320</v>
      </c>
      <c r="R66" s="10"/>
      <c r="S66" s="10"/>
      <c r="T66" s="10"/>
      <c r="U66" s="10"/>
      <c r="V66" s="10">
        <v>800</v>
      </c>
      <c r="W66" s="8">
        <v>800</v>
      </c>
      <c r="AC66" s="8">
        <v>800</v>
      </c>
      <c r="AD66" s="8">
        <v>0</v>
      </c>
      <c r="AE66" s="8">
        <v>2500</v>
      </c>
      <c r="AF66" s="8">
        <v>0</v>
      </c>
      <c r="AG66" s="8">
        <v>0</v>
      </c>
      <c r="AH66" s="8">
        <v>7169.74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 t="s">
        <v>133</v>
      </c>
      <c r="BB66" s="8"/>
      <c r="BC66" s="8"/>
      <c r="BD66" s="8"/>
      <c r="BE66" s="8"/>
      <c r="BF66" s="36">
        <f t="shared" si="81"/>
        <v>0</v>
      </c>
      <c r="BG66" s="36">
        <f t="shared" si="97"/>
        <v>0</v>
      </c>
      <c r="BH66" s="35">
        <f>SUM(Z66:AK66)</f>
        <v>10469.74</v>
      </c>
      <c r="BI66" s="35">
        <f t="shared" si="98"/>
        <v>3720</v>
      </c>
      <c r="BJ66" s="31">
        <f t="shared" si="82"/>
        <v>0</v>
      </c>
      <c r="BK66" s="31">
        <f t="shared" si="83"/>
        <v>0</v>
      </c>
      <c r="BL66" s="31">
        <f t="shared" si="99"/>
        <v>10469.74</v>
      </c>
      <c r="BM66" s="31">
        <f t="shared" si="100"/>
        <v>2920</v>
      </c>
      <c r="BN66" s="31">
        <f t="shared" si="101"/>
        <v>2825</v>
      </c>
      <c r="BO66" s="31">
        <f t="shared" si="102"/>
        <v>675</v>
      </c>
      <c r="BP66" s="7"/>
      <c r="BQ66" s="7"/>
    </row>
    <row r="67" spans="1:69" ht="14.4" x14ac:dyDescent="0.3">
      <c r="A67" s="1" t="s">
        <v>116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9"/>
      <c r="R67" s="10"/>
      <c r="S67" s="10"/>
      <c r="T67" s="10"/>
      <c r="U67" s="10"/>
      <c r="V67" s="10"/>
      <c r="W67" s="8"/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6000</v>
      </c>
      <c r="AK67" s="8">
        <v>0</v>
      </c>
      <c r="AL67" s="8">
        <v>655.58</v>
      </c>
      <c r="AM67" s="8">
        <v>451.76</v>
      </c>
      <c r="AN67" s="8">
        <v>606.12</v>
      </c>
      <c r="AO67" s="8">
        <v>687.47</v>
      </c>
      <c r="AP67" s="8">
        <v>462.82</v>
      </c>
      <c r="AQ67" s="8">
        <v>511.88</v>
      </c>
      <c r="AR67" s="8">
        <v>0</v>
      </c>
      <c r="AS67" s="8">
        <v>5661.13</v>
      </c>
      <c r="AT67" s="8">
        <v>7995.05</v>
      </c>
      <c r="AU67" s="8">
        <v>2595.04</v>
      </c>
      <c r="AV67" s="8">
        <v>2511.33</v>
      </c>
      <c r="AW67" s="8">
        <v>5395.04</v>
      </c>
      <c r="AX67" s="8">
        <v>2595.04</v>
      </c>
      <c r="AY67" s="8">
        <v>2343.91</v>
      </c>
      <c r="AZ67" s="8">
        <v>2595.0300000000002</v>
      </c>
      <c r="BA67" s="8">
        <v>2400</v>
      </c>
      <c r="BB67" s="8">
        <v>0</v>
      </c>
      <c r="BC67" s="8">
        <v>7119.31</v>
      </c>
      <c r="BD67" s="8">
        <v>5550.82</v>
      </c>
      <c r="BE67" s="8">
        <v>2800</v>
      </c>
      <c r="BF67" s="36">
        <f t="shared" si="81"/>
        <v>25404.11</v>
      </c>
      <c r="BG67" s="36">
        <f t="shared" si="97"/>
        <v>27533.22</v>
      </c>
      <c r="BH67" s="35">
        <f>SUM(Z67:AK67)</f>
        <v>6000</v>
      </c>
      <c r="BI67" s="35">
        <f t="shared" si="98"/>
        <v>0</v>
      </c>
      <c r="BJ67" s="31">
        <f t="shared" si="82"/>
        <v>17870.13</v>
      </c>
      <c r="BK67" s="31">
        <f t="shared" si="83"/>
        <v>33353.740000000005</v>
      </c>
      <c r="BL67" s="31">
        <f t="shared" si="99"/>
        <v>7713.46</v>
      </c>
      <c r="BM67" s="31">
        <f t="shared" si="100"/>
        <v>0</v>
      </c>
      <c r="BN67" s="31">
        <f t="shared" si="101"/>
        <v>0</v>
      </c>
      <c r="BO67" s="31">
        <f t="shared" si="102"/>
        <v>0</v>
      </c>
      <c r="BP67" s="7"/>
      <c r="BQ67" s="7"/>
    </row>
    <row r="68" spans="1:69" ht="14.4" x14ac:dyDescent="0.3">
      <c r="A68" s="1" t="s">
        <v>67</v>
      </c>
      <c r="M68" s="8">
        <v>71.7</v>
      </c>
      <c r="Q68" s="9">
        <v>38.549999999999997</v>
      </c>
      <c r="R68" s="10"/>
      <c r="S68" s="10"/>
      <c r="T68" s="10"/>
      <c r="U68" s="10"/>
      <c r="V68" s="10"/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 t="s">
        <v>133</v>
      </c>
      <c r="BB68" s="8"/>
      <c r="BC68" s="8"/>
      <c r="BD68" s="8"/>
      <c r="BE68" s="8"/>
      <c r="BF68" s="36">
        <f t="shared" si="81"/>
        <v>0</v>
      </c>
      <c r="BG68" s="36">
        <f t="shared" si="97"/>
        <v>0</v>
      </c>
      <c r="BH68" s="35"/>
      <c r="BI68" s="35">
        <f t="shared" si="98"/>
        <v>38.549999999999997</v>
      </c>
      <c r="BJ68" s="31">
        <f t="shared" si="82"/>
        <v>0</v>
      </c>
      <c r="BK68" s="31">
        <f t="shared" si="83"/>
        <v>0</v>
      </c>
      <c r="BL68" s="31">
        <f t="shared" si="99"/>
        <v>0</v>
      </c>
      <c r="BM68" s="31">
        <f t="shared" si="100"/>
        <v>38.549999999999997</v>
      </c>
      <c r="BN68" s="31">
        <f t="shared" si="101"/>
        <v>71.7</v>
      </c>
      <c r="BO68" s="31">
        <f t="shared" si="102"/>
        <v>0</v>
      </c>
      <c r="BP68" s="7"/>
      <c r="BQ68" s="7"/>
    </row>
    <row r="69" spans="1:69" ht="14.4" x14ac:dyDescent="0.3">
      <c r="A69" s="1" t="s">
        <v>68</v>
      </c>
      <c r="M69" s="8">
        <v>227.75</v>
      </c>
      <c r="P69" s="8">
        <v>230</v>
      </c>
      <c r="Q69" s="16"/>
      <c r="R69" s="17"/>
      <c r="S69" s="17"/>
      <c r="T69" s="17"/>
      <c r="U69" s="17"/>
      <c r="V69" s="17"/>
      <c r="W69" s="8"/>
      <c r="Z69" s="1">
        <v>1751.07</v>
      </c>
      <c r="AC69" s="8">
        <v>0</v>
      </c>
      <c r="AD69" s="8">
        <v>796.58</v>
      </c>
      <c r="AE69" s="8">
        <v>0</v>
      </c>
      <c r="AF69" s="8">
        <v>0</v>
      </c>
      <c r="AG69" s="8">
        <v>0</v>
      </c>
      <c r="AH69" s="8">
        <v>0</v>
      </c>
      <c r="AI69" s="8">
        <v>247.45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 t="s">
        <v>133</v>
      </c>
      <c r="BB69" s="8"/>
      <c r="BC69" s="8"/>
      <c r="BD69" s="8"/>
      <c r="BE69" s="8"/>
      <c r="BF69" s="36">
        <f t="shared" si="81"/>
        <v>0</v>
      </c>
      <c r="BG69" s="36">
        <f t="shared" si="97"/>
        <v>0</v>
      </c>
      <c r="BH69" s="35">
        <f>SUM(Z69:AK69)</f>
        <v>2795.1</v>
      </c>
      <c r="BI69" s="35">
        <f t="shared" si="98"/>
        <v>230</v>
      </c>
      <c r="BJ69" s="31">
        <f t="shared" si="82"/>
        <v>0</v>
      </c>
      <c r="BK69" s="31">
        <f t="shared" si="83"/>
        <v>0</v>
      </c>
      <c r="BL69" s="31">
        <f t="shared" si="99"/>
        <v>1044.03</v>
      </c>
      <c r="BM69" s="31">
        <f t="shared" si="100"/>
        <v>1751.07</v>
      </c>
      <c r="BN69" s="31">
        <f t="shared" si="101"/>
        <v>457.75</v>
      </c>
      <c r="BO69" s="31">
        <f t="shared" si="102"/>
        <v>0</v>
      </c>
      <c r="BP69" s="7"/>
      <c r="BQ69" s="7"/>
    </row>
    <row r="70" spans="1:69" ht="14.4" x14ac:dyDescent="0.3">
      <c r="A70" s="1" t="s">
        <v>98</v>
      </c>
      <c r="M70" s="8"/>
      <c r="P70" s="8"/>
      <c r="Q70" s="16"/>
      <c r="R70" s="17"/>
      <c r="S70" s="17"/>
      <c r="T70" s="17"/>
      <c r="U70" s="17"/>
      <c r="V70" s="17"/>
      <c r="W70" s="17">
        <v>582.04999999999995</v>
      </c>
      <c r="X70" s="8">
        <v>6760.58</v>
      </c>
      <c r="Y70" s="8">
        <v>1344</v>
      </c>
      <c r="Z70" s="8">
        <v>210.07</v>
      </c>
      <c r="AA70" s="8">
        <v>4866.04</v>
      </c>
      <c r="AB70" s="8">
        <v>12352.37</v>
      </c>
      <c r="AC70" s="8">
        <v>0</v>
      </c>
      <c r="AD70" s="8">
        <v>10219.92</v>
      </c>
      <c r="AE70" s="8">
        <v>3288.88</v>
      </c>
      <c r="AF70" s="8">
        <v>2262.09</v>
      </c>
      <c r="AG70" s="8">
        <v>1742.63</v>
      </c>
      <c r="AH70" s="8">
        <v>745.02</v>
      </c>
      <c r="AI70" s="8">
        <v>3054.39</v>
      </c>
      <c r="AJ70" s="8">
        <v>4980.2299999999996</v>
      </c>
      <c r="AK70" s="8">
        <v>3521.4</v>
      </c>
      <c r="AL70" s="8">
        <v>3016.85</v>
      </c>
      <c r="AM70" s="8">
        <v>438.97</v>
      </c>
      <c r="AN70" s="8">
        <v>604.26</v>
      </c>
      <c r="AO70" s="8">
        <v>2798.04</v>
      </c>
      <c r="AP70" s="8">
        <v>8032.21</v>
      </c>
      <c r="AQ70" s="8">
        <v>520.16</v>
      </c>
      <c r="AR70" s="8">
        <v>4058.16</v>
      </c>
      <c r="AS70" s="8">
        <v>0</v>
      </c>
      <c r="AT70" s="8">
        <v>882.87</v>
      </c>
      <c r="AU70" s="8">
        <v>384.6</v>
      </c>
      <c r="AV70" s="8">
        <v>2281.87</v>
      </c>
      <c r="AW70" s="8">
        <v>9534.2000000000007</v>
      </c>
      <c r="AX70" s="8">
        <v>0</v>
      </c>
      <c r="AY70" s="8">
        <v>761.49</v>
      </c>
      <c r="AZ70" s="8">
        <v>257.77</v>
      </c>
      <c r="BA70" s="8">
        <v>0</v>
      </c>
      <c r="BB70" s="8">
        <v>0</v>
      </c>
      <c r="BC70" s="8">
        <v>3242.74</v>
      </c>
      <c r="BD70" s="8">
        <v>0</v>
      </c>
      <c r="BE70" s="8">
        <v>0</v>
      </c>
      <c r="BF70" s="36">
        <f t="shared" si="81"/>
        <v>4262</v>
      </c>
      <c r="BG70" s="36">
        <f t="shared" si="97"/>
        <v>32552.19</v>
      </c>
      <c r="BH70" s="36">
        <f>SUM(Z70:AK70)</f>
        <v>47243.040000000001</v>
      </c>
      <c r="BI70" s="36">
        <f t="shared" si="98"/>
        <v>8686.630000000001</v>
      </c>
      <c r="BJ70" s="31">
        <f t="shared" si="82"/>
        <v>3242.74</v>
      </c>
      <c r="BK70" s="31">
        <f t="shared" si="83"/>
        <v>29511.370000000003</v>
      </c>
      <c r="BL70" s="31">
        <f t="shared" si="99"/>
        <v>33874.640000000007</v>
      </c>
      <c r="BM70" s="31">
        <f t="shared" si="100"/>
        <v>26115.11</v>
      </c>
      <c r="BN70" s="31">
        <f t="shared" si="101"/>
        <v>0</v>
      </c>
      <c r="BO70" s="31">
        <f t="shared" si="102"/>
        <v>0</v>
      </c>
      <c r="BP70" s="7"/>
      <c r="BQ70" s="7"/>
    </row>
    <row r="71" spans="1:69" ht="14.4" x14ac:dyDescent="0.3">
      <c r="A71" s="1" t="s">
        <v>99</v>
      </c>
      <c r="N71" s="8"/>
      <c r="O71" s="8"/>
      <c r="P71" s="8">
        <v>38038.75</v>
      </c>
      <c r="Q71" s="16"/>
      <c r="R71" s="17"/>
      <c r="S71" s="17"/>
      <c r="T71" s="17"/>
      <c r="U71" s="10">
        <v>6500</v>
      </c>
      <c r="V71" s="10">
        <v>3250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3150</v>
      </c>
      <c r="BF71" s="36">
        <f t="shared" si="81"/>
        <v>3150</v>
      </c>
      <c r="BG71" s="36">
        <f t="shared" si="97"/>
        <v>0</v>
      </c>
      <c r="BH71" s="35"/>
      <c r="BI71" s="35">
        <f t="shared" si="98"/>
        <v>47788.75</v>
      </c>
      <c r="BJ71" s="31">
        <f t="shared" si="82"/>
        <v>3150</v>
      </c>
      <c r="BK71" s="31">
        <f t="shared" si="83"/>
        <v>0</v>
      </c>
      <c r="BL71" s="31">
        <f t="shared" si="99"/>
        <v>0</v>
      </c>
      <c r="BM71" s="31">
        <f t="shared" si="100"/>
        <v>9750</v>
      </c>
      <c r="BN71" s="31">
        <f t="shared" si="101"/>
        <v>38038.75</v>
      </c>
      <c r="BO71" s="31">
        <f t="shared" si="102"/>
        <v>0</v>
      </c>
      <c r="BP71" s="7"/>
      <c r="BQ71" s="7"/>
    </row>
    <row r="72" spans="1:69" ht="14.4" x14ac:dyDescent="0.3">
      <c r="A72" s="1" t="s">
        <v>69</v>
      </c>
      <c r="D72" s="8">
        <v>0</v>
      </c>
      <c r="G72" s="8">
        <v>1856.23</v>
      </c>
      <c r="L72" s="8">
        <v>5140.54</v>
      </c>
      <c r="M72" s="8">
        <v>2082.58</v>
      </c>
      <c r="N72" s="8">
        <v>651.15</v>
      </c>
      <c r="Q72" s="16"/>
      <c r="R72" s="17"/>
      <c r="S72" s="17"/>
      <c r="T72" s="10">
        <v>12929.26</v>
      </c>
      <c r="U72" s="10"/>
      <c r="V72" s="10">
        <v>13832.53</v>
      </c>
      <c r="AB72" s="1">
        <v>7529.82</v>
      </c>
      <c r="AC72" s="8">
        <v>0</v>
      </c>
      <c r="AD72" s="8">
        <v>-2141.2600000000002</v>
      </c>
      <c r="AE72" s="8">
        <v>7500</v>
      </c>
      <c r="AF72" s="8">
        <v>4592.21</v>
      </c>
      <c r="AG72" s="8">
        <v>770</v>
      </c>
      <c r="AH72" s="8">
        <v>0</v>
      </c>
      <c r="AI72" s="8">
        <v>0</v>
      </c>
      <c r="AJ72" s="8">
        <v>7802.33</v>
      </c>
      <c r="AK72" s="8">
        <v>2428.59</v>
      </c>
      <c r="AL72" s="8">
        <v>2153.25</v>
      </c>
      <c r="AM72" s="8">
        <v>1228.0899999999999</v>
      </c>
      <c r="AN72" s="8">
        <v>452.87</v>
      </c>
      <c r="AO72" s="8">
        <v>5409.08</v>
      </c>
      <c r="AP72" s="8">
        <v>360</v>
      </c>
      <c r="AQ72" s="8">
        <v>108.54</v>
      </c>
      <c r="AR72" s="8">
        <v>0</v>
      </c>
      <c r="AS72" s="8">
        <v>0</v>
      </c>
      <c r="AT72" s="8">
        <v>7851.63</v>
      </c>
      <c r="AU72" s="8">
        <v>0</v>
      </c>
      <c r="AV72" s="8">
        <v>195.24</v>
      </c>
      <c r="AW72" s="8">
        <v>5406.19</v>
      </c>
      <c r="AX72" s="8">
        <v>4944</v>
      </c>
      <c r="AY72" s="8">
        <v>0</v>
      </c>
      <c r="AZ72" s="8">
        <v>1044.3699999999999</v>
      </c>
      <c r="BA72" s="8">
        <v>0</v>
      </c>
      <c r="BB72" s="8">
        <v>451.38</v>
      </c>
      <c r="BC72" s="8">
        <v>736.42</v>
      </c>
      <c r="BD72" s="8">
        <v>103.76</v>
      </c>
      <c r="BE72" s="8">
        <v>785.37</v>
      </c>
      <c r="BF72" s="36">
        <f t="shared" si="81"/>
        <v>8065.3</v>
      </c>
      <c r="BG72" s="36">
        <f t="shared" si="97"/>
        <v>23164.890000000003</v>
      </c>
      <c r="BH72" s="35">
        <f>SUM(Z72:AK72)</f>
        <v>28481.69</v>
      </c>
      <c r="BI72" s="35">
        <f t="shared" si="98"/>
        <v>27412.940000000002</v>
      </c>
      <c r="BJ72" s="31">
        <f t="shared" si="82"/>
        <v>2076.9299999999998</v>
      </c>
      <c r="BK72" s="31">
        <f t="shared" si="83"/>
        <v>25319.05</v>
      </c>
      <c r="BL72" s="31">
        <f t="shared" si="99"/>
        <v>24786.079999999998</v>
      </c>
      <c r="BM72" s="31">
        <f t="shared" si="100"/>
        <v>34291.61</v>
      </c>
      <c r="BN72" s="31">
        <f t="shared" si="101"/>
        <v>9730.5</v>
      </c>
      <c r="BO72" s="31">
        <f t="shared" si="102"/>
        <v>0</v>
      </c>
      <c r="BP72" s="7"/>
      <c r="BQ72" s="7"/>
    </row>
    <row r="73" spans="1:69" ht="14.4" x14ac:dyDescent="0.3">
      <c r="A73" s="1" t="s">
        <v>70</v>
      </c>
      <c r="M73" s="8">
        <v>2340</v>
      </c>
      <c r="Q73" s="16"/>
      <c r="R73" s="10">
        <v>7200</v>
      </c>
      <c r="S73" s="10"/>
      <c r="T73" s="10"/>
      <c r="U73" s="10">
        <v>21434.15</v>
      </c>
      <c r="V73" s="10">
        <v>7000</v>
      </c>
      <c r="W73" s="8">
        <v>9238.82</v>
      </c>
      <c r="X73" s="8">
        <v>3500</v>
      </c>
      <c r="Y73" s="8">
        <v>21046.2</v>
      </c>
      <c r="Z73" s="8"/>
      <c r="AA73" s="8">
        <v>7000</v>
      </c>
      <c r="AB73" s="8">
        <v>13000</v>
      </c>
      <c r="AC73" s="8">
        <v>3000</v>
      </c>
      <c r="AD73" s="8">
        <v>4000</v>
      </c>
      <c r="AE73" s="8">
        <v>0</v>
      </c>
      <c r="AF73" s="8">
        <v>5000</v>
      </c>
      <c r="AG73" s="8">
        <v>10772.06</v>
      </c>
      <c r="AH73" s="8">
        <v>12082.64</v>
      </c>
      <c r="AI73" s="8">
        <v>7772.06</v>
      </c>
      <c r="AJ73" s="8">
        <v>10482.64</v>
      </c>
      <c r="AK73" s="8">
        <v>11497.06</v>
      </c>
      <c r="AL73" s="8">
        <v>16058.57</v>
      </c>
      <c r="AM73" s="8">
        <v>10528.79</v>
      </c>
      <c r="AN73" s="8">
        <v>18272.060000000001</v>
      </c>
      <c r="AO73" s="8">
        <v>14139.11</v>
      </c>
      <c r="AP73" s="8">
        <v>14960.41</v>
      </c>
      <c r="AQ73" s="8">
        <v>13939.11</v>
      </c>
      <c r="AR73" s="8">
        <v>12960.37</v>
      </c>
      <c r="AS73" s="8">
        <v>11251.12</v>
      </c>
      <c r="AT73" s="8">
        <v>8533.24</v>
      </c>
      <c r="AU73" s="8">
        <v>6140.57</v>
      </c>
      <c r="AV73" s="8">
        <v>10192.49</v>
      </c>
      <c r="AW73" s="8">
        <v>12236.85</v>
      </c>
      <c r="AX73" s="8">
        <v>30670.83</v>
      </c>
      <c r="AY73" s="8">
        <v>2897.38</v>
      </c>
      <c r="AZ73" s="8">
        <v>6501.96</v>
      </c>
      <c r="BA73" s="8">
        <v>6141.99</v>
      </c>
      <c r="BB73" s="8">
        <v>6346.71</v>
      </c>
      <c r="BC73" s="8">
        <v>6141.99</v>
      </c>
      <c r="BD73" s="8">
        <v>6346.72</v>
      </c>
      <c r="BE73" s="8">
        <v>4091.37</v>
      </c>
      <c r="BF73" s="36">
        <f t="shared" si="81"/>
        <v>69138.95</v>
      </c>
      <c r="BG73" s="36">
        <f t="shared" si="97"/>
        <v>149212.69</v>
      </c>
      <c r="BH73" s="40">
        <f>SUM(Z73:AK73)</f>
        <v>84606.459999999992</v>
      </c>
      <c r="BI73" s="36">
        <f t="shared" si="98"/>
        <v>69419.17</v>
      </c>
      <c r="BJ73" s="31">
        <f t="shared" si="82"/>
        <v>29068.780000000002</v>
      </c>
      <c r="BK73" s="31">
        <f t="shared" si="83"/>
        <v>144423.44000000003</v>
      </c>
      <c r="BL73" s="31">
        <f t="shared" si="99"/>
        <v>109465.88</v>
      </c>
      <c r="BM73" s="31">
        <f t="shared" si="100"/>
        <v>89419.17</v>
      </c>
      <c r="BN73" s="31">
        <f t="shared" si="101"/>
        <v>2340</v>
      </c>
      <c r="BO73" s="31">
        <f t="shared" si="102"/>
        <v>0</v>
      </c>
      <c r="BP73" s="7"/>
      <c r="BQ73" s="7"/>
    </row>
    <row r="74" spans="1:69" ht="14.4" x14ac:dyDescent="0.3">
      <c r="A74" s="4" t="s">
        <v>71</v>
      </c>
      <c r="B74" s="12">
        <v>225</v>
      </c>
      <c r="C74" s="12">
        <v>5225</v>
      </c>
      <c r="D74" s="12">
        <f>SUM(D65:D73)</f>
        <v>225</v>
      </c>
      <c r="E74" s="12">
        <v>225</v>
      </c>
      <c r="F74" s="12">
        <v>225</v>
      </c>
      <c r="G74" s="12">
        <v>2081.23</v>
      </c>
      <c r="H74" s="12">
        <v>9825</v>
      </c>
      <c r="I74" s="12">
        <v>9150</v>
      </c>
      <c r="J74" s="12">
        <v>2038</v>
      </c>
      <c r="K74" s="12">
        <v>5380</v>
      </c>
      <c r="L74" s="12">
        <v>21586.54</v>
      </c>
      <c r="M74" s="12">
        <v>9797.0300000000007</v>
      </c>
      <c r="N74" s="12">
        <v>7600.71</v>
      </c>
      <c r="O74" s="12">
        <v>-934.35</v>
      </c>
      <c r="P74" s="12">
        <v>39779.370000000003</v>
      </c>
      <c r="Q74" s="13">
        <f t="shared" ref="Q74:AB74" si="103">SUM(Q65:Q73)</f>
        <v>3876.55</v>
      </c>
      <c r="R74" s="13">
        <f t="shared" si="103"/>
        <v>16698</v>
      </c>
      <c r="S74" s="13">
        <f t="shared" si="103"/>
        <v>7901.07</v>
      </c>
      <c r="T74" s="13">
        <f t="shared" si="103"/>
        <v>16249.26</v>
      </c>
      <c r="U74" s="13">
        <f t="shared" si="103"/>
        <v>32084.15</v>
      </c>
      <c r="V74" s="13">
        <f t="shared" si="103"/>
        <v>27647.599999999999</v>
      </c>
      <c r="W74" s="13">
        <f t="shared" si="103"/>
        <v>12570.869999999999</v>
      </c>
      <c r="X74" s="13">
        <f t="shared" si="103"/>
        <v>15220.58</v>
      </c>
      <c r="Y74" s="13">
        <f t="shared" si="103"/>
        <v>31242.7</v>
      </c>
      <c r="Z74" s="13">
        <f t="shared" ref="Z74:AA74" si="104">SUM(Z65:Z73)</f>
        <v>4729.6099999999997</v>
      </c>
      <c r="AA74" s="13">
        <f t="shared" si="104"/>
        <v>16312.82</v>
      </c>
      <c r="AB74" s="13">
        <f t="shared" si="103"/>
        <v>35848.770000000004</v>
      </c>
      <c r="AC74" s="13">
        <f t="shared" ref="AC74:AD74" si="105">SUM(AC65:AC73)</f>
        <v>9440</v>
      </c>
      <c r="AD74" s="13">
        <f t="shared" si="105"/>
        <v>15975.199999999999</v>
      </c>
      <c r="AE74" s="13">
        <f t="shared" ref="AE74" si="106">SUM(AE65:AE73)</f>
        <v>15043.880000000001</v>
      </c>
      <c r="AF74" s="13">
        <f t="shared" ref="AF74:AK74" si="107">SUM(AF65:AF73)</f>
        <v>20137.2</v>
      </c>
      <c r="AG74" s="13">
        <f t="shared" si="107"/>
        <v>16256.01</v>
      </c>
      <c r="AH74" s="13">
        <f t="shared" si="107"/>
        <v>22950.65</v>
      </c>
      <c r="AI74" s="13">
        <f t="shared" si="107"/>
        <v>14469.21</v>
      </c>
      <c r="AJ74" s="13">
        <f t="shared" si="107"/>
        <v>39638.050000000003</v>
      </c>
      <c r="AK74" s="13">
        <f t="shared" si="107"/>
        <v>24264.799999999999</v>
      </c>
      <c r="AL74" s="13">
        <f t="shared" ref="AL74:AM74" si="108">SUM(AL65:AL73)</f>
        <v>28916.75</v>
      </c>
      <c r="AM74" s="13">
        <f t="shared" si="108"/>
        <v>13865.11</v>
      </c>
      <c r="AN74" s="13">
        <f t="shared" ref="AN74:AQ74" si="109">SUM(AN65:AN73)</f>
        <v>22169.350000000002</v>
      </c>
      <c r="AO74" s="13">
        <f t="shared" si="109"/>
        <v>23708.7</v>
      </c>
      <c r="AP74" s="13">
        <f t="shared" si="109"/>
        <v>36994.94</v>
      </c>
      <c r="AQ74" s="13">
        <f t="shared" si="109"/>
        <v>34266.730000000003</v>
      </c>
      <c r="AR74" s="13">
        <f t="shared" ref="AR74:BE74" si="110">SUM(AR65:AR73)</f>
        <v>17018.53</v>
      </c>
      <c r="AS74" s="13">
        <f t="shared" si="110"/>
        <v>16912.25</v>
      </c>
      <c r="AT74" s="13">
        <f t="shared" si="110"/>
        <v>27552.83</v>
      </c>
      <c r="AU74" s="13">
        <f t="shared" si="110"/>
        <v>9891.82</v>
      </c>
      <c r="AV74" s="13">
        <f t="shared" si="110"/>
        <v>16389.43</v>
      </c>
      <c r="AW74" s="13">
        <f t="shared" si="110"/>
        <v>34093.89</v>
      </c>
      <c r="AX74" s="13">
        <f t="shared" si="110"/>
        <v>38306.480000000003</v>
      </c>
      <c r="AY74" s="13">
        <f t="shared" si="110"/>
        <v>6090.04</v>
      </c>
      <c r="AZ74" s="13">
        <f t="shared" si="110"/>
        <v>30146.339999999997</v>
      </c>
      <c r="BA74" s="13">
        <f t="shared" si="110"/>
        <v>5759.07</v>
      </c>
      <c r="BB74" s="13">
        <f t="shared" si="110"/>
        <v>23748.170000000002</v>
      </c>
      <c r="BC74" s="13">
        <f t="shared" si="110"/>
        <v>18293.690000000002</v>
      </c>
      <c r="BD74" s="13">
        <f t="shared" si="110"/>
        <v>14535.330000000002</v>
      </c>
      <c r="BE74" s="13">
        <f t="shared" si="110"/>
        <v>14450.490000000002</v>
      </c>
      <c r="BF74" s="39">
        <f t="shared" si="81"/>
        <v>151329.60999999999</v>
      </c>
      <c r="BG74" s="39">
        <f t="shared" si="97"/>
        <v>281780.33</v>
      </c>
      <c r="BH74" s="37">
        <f>SUM(Z74:AK74)</f>
        <v>235066.2</v>
      </c>
      <c r="BI74" s="37">
        <f t="shared" si="98"/>
        <v>209936.51</v>
      </c>
      <c r="BJ74" s="32">
        <f t="shared" si="82"/>
        <v>76786.750000000015</v>
      </c>
      <c r="BK74" s="32">
        <f t="shared" si="83"/>
        <v>291371.98</v>
      </c>
      <c r="BL74" s="32">
        <f t="shared" si="99"/>
        <v>243126.21</v>
      </c>
      <c r="BM74" s="32">
        <f t="shared" si="100"/>
        <v>220381.97999999998</v>
      </c>
      <c r="BN74" s="32">
        <f t="shared" si="101"/>
        <v>106753.53</v>
      </c>
      <c r="BO74" s="32">
        <f t="shared" si="102"/>
        <v>5675</v>
      </c>
      <c r="BP74" s="103" t="s">
        <v>169</v>
      </c>
      <c r="BQ74" s="7"/>
    </row>
    <row r="75" spans="1:69" s="4" customFormat="1" ht="14.4" x14ac:dyDescent="0.3">
      <c r="A75" s="1" t="s">
        <v>72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6"/>
      <c r="R75" s="17"/>
      <c r="S75" s="17"/>
      <c r="T75" s="17"/>
      <c r="U75" s="17"/>
      <c r="V75" s="17"/>
      <c r="W75" s="1"/>
      <c r="X75" s="1"/>
      <c r="Y75" s="1"/>
      <c r="Z75" s="1"/>
      <c r="AA75" s="1"/>
      <c r="AB75" s="1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36"/>
      <c r="BG75" s="36"/>
      <c r="BH75" s="35"/>
      <c r="BI75" s="35"/>
      <c r="BJ75" s="32"/>
      <c r="BK75" s="32"/>
      <c r="BL75" s="31"/>
      <c r="BM75" s="31"/>
      <c r="BN75" s="31"/>
      <c r="BO75" s="31"/>
      <c r="BP75" s="7"/>
      <c r="BQ75" s="7"/>
    </row>
    <row r="76" spans="1:69" ht="14.4" x14ac:dyDescent="0.3">
      <c r="A76" s="47" t="s">
        <v>128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9"/>
      <c r="R76" s="10"/>
      <c r="S76" s="10"/>
      <c r="T76" s="10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2782.24</v>
      </c>
      <c r="AY76" s="8">
        <v>0</v>
      </c>
      <c r="AZ76" s="8">
        <v>0</v>
      </c>
      <c r="BA76" s="8">
        <v>3274.8</v>
      </c>
      <c r="BB76" s="8">
        <v>114.97</v>
      </c>
      <c r="BC76" s="8">
        <v>0</v>
      </c>
      <c r="BD76" s="8">
        <v>0</v>
      </c>
      <c r="BE76" s="8">
        <v>0</v>
      </c>
      <c r="BF76" s="36">
        <f t="shared" ref="BF76:BF81" si="111">SUM(AX76:BE76)</f>
        <v>6172.01</v>
      </c>
      <c r="BG76" s="36">
        <f t="shared" ref="BG76:BG81" si="112">SUM(AL76:AW76)</f>
        <v>0</v>
      </c>
      <c r="BH76" s="36">
        <f t="shared" ref="BH76:BH81" si="113">SUM(Z76:AK76)</f>
        <v>0</v>
      </c>
      <c r="BI76" s="36">
        <f t="shared" ref="BI76:BI81" si="114">SUM(N76:Y76)</f>
        <v>0</v>
      </c>
      <c r="BJ76" s="31">
        <f t="shared" ref="BJ76:BJ81" si="115">SUM(BA76:BE76)</f>
        <v>3389.77</v>
      </c>
      <c r="BK76" s="31">
        <f t="shared" ref="BK76:BK81" si="116">SUM(AO76:AZ76)</f>
        <v>2782.24</v>
      </c>
      <c r="BL76" s="31">
        <f t="shared" ref="BL76:BL81" si="117">SUM(AC76:AN76)</f>
        <v>0</v>
      </c>
      <c r="BM76" s="31"/>
      <c r="BN76" s="31"/>
      <c r="BO76" s="31"/>
      <c r="BP76" s="7"/>
      <c r="BQ76" s="7"/>
    </row>
    <row r="77" spans="1:69" ht="14.4" x14ac:dyDescent="0.3">
      <c r="A77" s="1" t="s">
        <v>73</v>
      </c>
      <c r="B77" s="8">
        <v>3651.5</v>
      </c>
      <c r="D77" s="8">
        <v>3061.75</v>
      </c>
      <c r="E77" s="8">
        <v>1250</v>
      </c>
      <c r="F77" s="8">
        <v>4844.5</v>
      </c>
      <c r="G77" s="8">
        <v>5033.12</v>
      </c>
      <c r="H77" s="8">
        <v>6500</v>
      </c>
      <c r="I77" s="8">
        <v>1250</v>
      </c>
      <c r="J77" s="8">
        <v>1250</v>
      </c>
      <c r="K77" s="8">
        <v>1250</v>
      </c>
      <c r="L77" s="8">
        <v>2012.5</v>
      </c>
      <c r="M77" s="8">
        <v>-254.2</v>
      </c>
      <c r="N77" s="8">
        <v>3869</v>
      </c>
      <c r="O77" s="8">
        <v>-5766.5</v>
      </c>
      <c r="P77" s="8">
        <v>2239.5</v>
      </c>
      <c r="Q77" s="9">
        <v>842.5</v>
      </c>
      <c r="R77" s="10">
        <v>573.5</v>
      </c>
      <c r="S77" s="10">
        <v>1235</v>
      </c>
      <c r="T77" s="10">
        <v>1608.75</v>
      </c>
      <c r="U77" s="10">
        <v>1493</v>
      </c>
      <c r="V77" s="10">
        <v>1973</v>
      </c>
      <c r="W77" s="8">
        <v>2459</v>
      </c>
      <c r="X77" s="8"/>
      <c r="Y77" s="8">
        <v>5819.5</v>
      </c>
      <c r="Z77" s="8">
        <v>2954</v>
      </c>
      <c r="AA77" s="8">
        <v>3578.02</v>
      </c>
      <c r="AB77" s="8">
        <v>7753.02</v>
      </c>
      <c r="AC77" s="8">
        <v>5171.78</v>
      </c>
      <c r="AD77" s="8">
        <v>1938.01</v>
      </c>
      <c r="AE77" s="8">
        <v>0</v>
      </c>
      <c r="AF77" s="8">
        <v>7393.5</v>
      </c>
      <c r="AG77" s="8">
        <v>0</v>
      </c>
      <c r="AH77" s="8">
        <v>0</v>
      </c>
      <c r="AI77" s="8">
        <v>13144.45</v>
      </c>
      <c r="AJ77" s="8">
        <v>1863.25</v>
      </c>
      <c r="AK77" s="8">
        <v>310.25</v>
      </c>
      <c r="AL77" s="8">
        <v>258</v>
      </c>
      <c r="AM77" s="8">
        <v>-861.99</v>
      </c>
      <c r="AN77" s="8">
        <v>918.51</v>
      </c>
      <c r="AO77" s="8">
        <v>473.01</v>
      </c>
      <c r="AP77" s="8">
        <v>0</v>
      </c>
      <c r="AQ77" s="8">
        <v>0</v>
      </c>
      <c r="AR77" s="8">
        <v>630</v>
      </c>
      <c r="AS77" s="8">
        <v>675</v>
      </c>
      <c r="AT77" s="8">
        <v>720</v>
      </c>
      <c r="AU77" s="8">
        <v>810</v>
      </c>
      <c r="AV77" s="8">
        <v>652.5</v>
      </c>
      <c r="AW77" s="8">
        <v>765</v>
      </c>
      <c r="AX77" s="8">
        <v>630</v>
      </c>
      <c r="AY77" s="8">
        <v>843.98</v>
      </c>
      <c r="AZ77" s="8">
        <v>686.02</v>
      </c>
      <c r="BA77" s="8">
        <v>742.5</v>
      </c>
      <c r="BB77" s="8">
        <v>0</v>
      </c>
      <c r="BC77" s="8">
        <v>0</v>
      </c>
      <c r="BD77" s="8">
        <v>0</v>
      </c>
      <c r="BE77" s="8">
        <v>174.24</v>
      </c>
      <c r="BF77" s="36">
        <f t="shared" si="111"/>
        <v>3076.74</v>
      </c>
      <c r="BG77" s="36">
        <f t="shared" si="112"/>
        <v>5040.03</v>
      </c>
      <c r="BH77" s="36">
        <f t="shared" si="113"/>
        <v>44106.28</v>
      </c>
      <c r="BI77" s="36">
        <f t="shared" si="114"/>
        <v>16346.25</v>
      </c>
      <c r="BJ77" s="31">
        <f t="shared" si="115"/>
        <v>916.74</v>
      </c>
      <c r="BK77" s="31">
        <f t="shared" si="116"/>
        <v>6885.51</v>
      </c>
      <c r="BL77" s="31">
        <f t="shared" si="117"/>
        <v>30135.759999999998</v>
      </c>
      <c r="BM77" s="31">
        <f>SUM(Q77:AB77)</f>
        <v>30289.29</v>
      </c>
      <c r="BN77" s="31">
        <f>SUM(E77:P77)</f>
        <v>23477.919999999998</v>
      </c>
      <c r="BO77" s="31">
        <f>SUM(B77:D77)</f>
        <v>6713.25</v>
      </c>
      <c r="BP77" s="7"/>
      <c r="BQ77" s="7"/>
    </row>
    <row r="78" spans="1:69" ht="14.4" x14ac:dyDescent="0.3">
      <c r="A78" s="1" t="s">
        <v>74</v>
      </c>
      <c r="D78" s="8">
        <v>286.5</v>
      </c>
      <c r="E78" s="8">
        <v>1875</v>
      </c>
      <c r="F78" s="8">
        <v>283.75</v>
      </c>
      <c r="G78" s="8">
        <v>1242.5</v>
      </c>
      <c r="H78" s="8">
        <v>375</v>
      </c>
      <c r="I78" s="8">
        <v>1756.25</v>
      </c>
      <c r="J78" s="8">
        <v>1937.5</v>
      </c>
      <c r="K78" s="8">
        <v>2066.25</v>
      </c>
      <c r="L78" s="8">
        <v>6311.25</v>
      </c>
      <c r="M78" s="8">
        <v>19045</v>
      </c>
      <c r="N78" s="8">
        <v>8041.5</v>
      </c>
      <c r="O78" s="8">
        <v>1500.01</v>
      </c>
      <c r="P78" s="1">
        <v>5199.99</v>
      </c>
      <c r="Q78" s="9">
        <v>1670</v>
      </c>
      <c r="R78" s="10">
        <v>3920</v>
      </c>
      <c r="S78" s="10">
        <v>3313.33</v>
      </c>
      <c r="T78" s="10">
        <v>12566.66</v>
      </c>
      <c r="U78" s="10">
        <v>8500</v>
      </c>
      <c r="V78" s="10">
        <v>3712.06</v>
      </c>
      <c r="W78" s="8">
        <v>4588.33</v>
      </c>
      <c r="X78" s="8">
        <v>5113.08</v>
      </c>
      <c r="Y78" s="8">
        <v>8257.1200000000008</v>
      </c>
      <c r="Z78" s="8">
        <v>10020</v>
      </c>
      <c r="AA78" s="8">
        <v>23338.76</v>
      </c>
      <c r="AB78" s="8">
        <v>18373.25</v>
      </c>
      <c r="AC78" s="8">
        <v>22713.5</v>
      </c>
      <c r="AD78" s="8">
        <v>29713.75</v>
      </c>
      <c r="AE78" s="8">
        <v>36046.65</v>
      </c>
      <c r="AF78" s="8">
        <v>29196.639999999999</v>
      </c>
      <c r="AG78" s="8">
        <v>33156.18</v>
      </c>
      <c r="AH78" s="8">
        <v>28011.09</v>
      </c>
      <c r="AI78" s="8">
        <v>31737.88</v>
      </c>
      <c r="AJ78" s="8">
        <v>41375.199999999997</v>
      </c>
      <c r="AK78" s="8">
        <v>43448.88</v>
      </c>
      <c r="AL78" s="8">
        <v>59932.81</v>
      </c>
      <c r="AM78" s="8">
        <v>39958.75</v>
      </c>
      <c r="AN78" s="8">
        <v>33308.82</v>
      </c>
      <c r="AO78" s="8">
        <v>21377.27</v>
      </c>
      <c r="AP78" s="8">
        <v>31720.06</v>
      </c>
      <c r="AQ78" s="8">
        <v>42808.17</v>
      </c>
      <c r="AR78" s="8">
        <v>32855.730000000003</v>
      </c>
      <c r="AS78" s="8">
        <v>18586.04</v>
      </c>
      <c r="AT78" s="8">
        <v>47700.56</v>
      </c>
      <c r="AU78" s="8">
        <v>42646.080000000002</v>
      </c>
      <c r="AV78" s="8">
        <v>41582.559999999998</v>
      </c>
      <c r="AW78" s="8">
        <v>30620.95</v>
      </c>
      <c r="AX78" s="8">
        <v>31374.81</v>
      </c>
      <c r="AY78" s="8">
        <v>58391.16</v>
      </c>
      <c r="AZ78" s="8">
        <v>44087.98</v>
      </c>
      <c r="BA78" s="8">
        <v>51493.52</v>
      </c>
      <c r="BB78" s="8">
        <v>45353.599999999999</v>
      </c>
      <c r="BC78" s="8">
        <v>70965.759999999995</v>
      </c>
      <c r="BD78" s="8">
        <v>62076.36</v>
      </c>
      <c r="BE78" s="8">
        <v>52322.69</v>
      </c>
      <c r="BF78" s="36">
        <f t="shared" si="111"/>
        <v>416065.88</v>
      </c>
      <c r="BG78" s="36">
        <f t="shared" si="112"/>
        <v>443097.80000000005</v>
      </c>
      <c r="BH78" s="36">
        <f t="shared" si="113"/>
        <v>347131.77999999997</v>
      </c>
      <c r="BI78" s="36">
        <f t="shared" si="114"/>
        <v>66382.080000000002</v>
      </c>
      <c r="BJ78" s="31">
        <f t="shared" si="115"/>
        <v>282211.93</v>
      </c>
      <c r="BK78" s="31">
        <f t="shared" si="116"/>
        <v>443751.37</v>
      </c>
      <c r="BL78" s="31">
        <f t="shared" si="117"/>
        <v>428600.15</v>
      </c>
      <c r="BM78" s="31">
        <f>SUM(Q78:AB78)</f>
        <v>103372.59</v>
      </c>
      <c r="BN78" s="31">
        <f>SUM(E78:P78)</f>
        <v>49634</v>
      </c>
      <c r="BO78" s="31">
        <f>SUM(B78:D78)</f>
        <v>286.5</v>
      </c>
      <c r="BP78"/>
      <c r="BQ78" s="7"/>
    </row>
    <row r="79" spans="1:69" ht="14.4" x14ac:dyDescent="0.3">
      <c r="A79" s="1" t="s">
        <v>75</v>
      </c>
      <c r="B79" s="8">
        <v>2938.41</v>
      </c>
      <c r="C79" s="8">
        <v>2942.25</v>
      </c>
      <c r="D79" s="8">
        <v>2867.46</v>
      </c>
      <c r="E79" s="8">
        <v>3241.55</v>
      </c>
      <c r="F79" s="8">
        <v>3415.28</v>
      </c>
      <c r="G79" s="8">
        <v>1607.1</v>
      </c>
      <c r="H79" s="8">
        <v>8340.84</v>
      </c>
      <c r="I79" s="8">
        <v>4740.3599999999997</v>
      </c>
      <c r="J79" s="8">
        <v>4684.45</v>
      </c>
      <c r="K79" s="8">
        <v>6941.9</v>
      </c>
      <c r="L79" s="8">
        <v>5205.62</v>
      </c>
      <c r="M79" s="8">
        <v>5006.5600000000004</v>
      </c>
      <c r="N79" s="8">
        <v>5562.04</v>
      </c>
      <c r="O79" s="8">
        <v>5538.49</v>
      </c>
      <c r="P79" s="8">
        <v>5878.75</v>
      </c>
      <c r="Q79" s="9">
        <v>12441.63</v>
      </c>
      <c r="R79" s="10">
        <v>7466.46</v>
      </c>
      <c r="S79" s="10">
        <v>5253.39</v>
      </c>
      <c r="T79" s="10">
        <v>5863.62</v>
      </c>
      <c r="U79" s="10">
        <v>6485.35</v>
      </c>
      <c r="V79" s="10">
        <v>7404.12</v>
      </c>
      <c r="W79" s="8">
        <v>5855.92</v>
      </c>
      <c r="X79" s="8">
        <v>6000.55</v>
      </c>
      <c r="Y79" s="8">
        <v>10385.25</v>
      </c>
      <c r="Z79" s="8">
        <v>7853.2</v>
      </c>
      <c r="AA79" s="8">
        <v>15733.25</v>
      </c>
      <c r="AB79" s="8">
        <v>40915.040000000001</v>
      </c>
      <c r="AC79" s="8">
        <v>14621.29</v>
      </c>
      <c r="AD79" s="8">
        <v>9801.2000000000007</v>
      </c>
      <c r="AE79" s="8">
        <v>7747.33</v>
      </c>
      <c r="AF79" s="8">
        <v>27472.57</v>
      </c>
      <c r="AG79" s="8">
        <v>11969.06</v>
      </c>
      <c r="AH79" s="8">
        <v>10657.61</v>
      </c>
      <c r="AI79" s="8">
        <v>21272.720000000001</v>
      </c>
      <c r="AJ79" s="8">
        <v>13801.58</v>
      </c>
      <c r="AK79" s="8">
        <v>11118.67</v>
      </c>
      <c r="AL79" s="8">
        <v>11198.71</v>
      </c>
      <c r="AM79" s="8">
        <v>11494.83</v>
      </c>
      <c r="AN79" s="8">
        <v>14369.28</v>
      </c>
      <c r="AO79" s="8">
        <v>12891.14</v>
      </c>
      <c r="AP79" s="8">
        <v>8254.33</v>
      </c>
      <c r="AQ79" s="8">
        <v>12004.59</v>
      </c>
      <c r="AR79" s="8">
        <v>11750.04</v>
      </c>
      <c r="AS79" s="8">
        <v>9130.4599999999991</v>
      </c>
      <c r="AT79" s="8">
        <v>18779.61</v>
      </c>
      <c r="AU79" s="8">
        <v>11090.43</v>
      </c>
      <c r="AV79" s="8">
        <v>16499.400000000001</v>
      </c>
      <c r="AW79" s="8">
        <v>12211.73</v>
      </c>
      <c r="AX79" s="8">
        <v>15125.24</v>
      </c>
      <c r="AY79" s="8">
        <v>12365.88</v>
      </c>
      <c r="AZ79" s="8">
        <v>17553.54</v>
      </c>
      <c r="BA79" s="8">
        <v>25112.73</v>
      </c>
      <c r="BB79" s="8">
        <v>10572.87</v>
      </c>
      <c r="BC79" s="8">
        <v>10421.89</v>
      </c>
      <c r="BD79" s="8">
        <v>27954.19</v>
      </c>
      <c r="BE79" s="8">
        <v>18879.330000000002</v>
      </c>
      <c r="BF79" s="36">
        <f t="shared" si="111"/>
        <v>137985.66999999998</v>
      </c>
      <c r="BG79" s="36">
        <f t="shared" si="112"/>
        <v>149674.55000000002</v>
      </c>
      <c r="BH79" s="36">
        <f t="shared" si="113"/>
        <v>192963.52</v>
      </c>
      <c r="BI79" s="36">
        <f t="shared" si="114"/>
        <v>84135.57</v>
      </c>
      <c r="BJ79" s="31">
        <f t="shared" si="115"/>
        <v>92941.01</v>
      </c>
      <c r="BK79" s="31">
        <f t="shared" si="116"/>
        <v>157656.39000000001</v>
      </c>
      <c r="BL79" s="31">
        <f t="shared" si="117"/>
        <v>165524.84999999998</v>
      </c>
      <c r="BM79" s="31">
        <f>SUM(Q79:AB79)</f>
        <v>131657.78</v>
      </c>
      <c r="BN79" s="31">
        <f>SUM(E79:P79)</f>
        <v>60162.94</v>
      </c>
      <c r="BO79" s="31">
        <f>SUM(B79:D79)</f>
        <v>8748.119999999999</v>
      </c>
      <c r="BP79" s="7"/>
      <c r="BQ79" s="7"/>
    </row>
    <row r="80" spans="1:69" ht="14.4" x14ac:dyDescent="0.3">
      <c r="A80" s="1" t="s">
        <v>76</v>
      </c>
      <c r="J80" s="8">
        <v>39.950000000000003</v>
      </c>
      <c r="K80" s="8">
        <v>13.99</v>
      </c>
      <c r="P80" s="1">
        <v>-27.6</v>
      </c>
      <c r="Q80" s="16"/>
      <c r="R80" s="17"/>
      <c r="S80" s="17"/>
      <c r="T80" s="17"/>
      <c r="U80" s="17"/>
      <c r="V80" s="17"/>
      <c r="W80" s="24"/>
      <c r="X80" s="24"/>
      <c r="Y80" s="24"/>
      <c r="Z80" s="24"/>
      <c r="AA80" s="24"/>
      <c r="AB80" s="24"/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5463.94</v>
      </c>
      <c r="AL80" s="8">
        <v>1385</v>
      </c>
      <c r="AM80" s="8">
        <v>0</v>
      </c>
      <c r="AN80" s="8">
        <v>68</v>
      </c>
      <c r="AO80" s="8">
        <v>0</v>
      </c>
      <c r="AP80" s="8">
        <v>0</v>
      </c>
      <c r="AQ80" s="8">
        <v>2385</v>
      </c>
      <c r="AR80" s="8">
        <v>0</v>
      </c>
      <c r="AS80" s="8">
        <v>946.5</v>
      </c>
      <c r="AT80" s="8">
        <v>0</v>
      </c>
      <c r="AU80" s="8">
        <v>2595.2600000000002</v>
      </c>
      <c r="AV80" s="8">
        <v>246.34</v>
      </c>
      <c r="AW80" s="8">
        <v>4290.03</v>
      </c>
      <c r="AX80" s="8">
        <v>0</v>
      </c>
      <c r="AY80" s="8">
        <v>810.03</v>
      </c>
      <c r="AZ80" s="8">
        <v>79.41</v>
      </c>
      <c r="BA80" s="8">
        <v>28.4</v>
      </c>
      <c r="BB80" s="8">
        <v>1179.8399999999999</v>
      </c>
      <c r="BC80" s="8">
        <v>235</v>
      </c>
      <c r="BD80" s="8">
        <v>109.09</v>
      </c>
      <c r="BE80" s="8">
        <v>186.17</v>
      </c>
      <c r="BF80" s="36">
        <f t="shared" si="111"/>
        <v>2627.94</v>
      </c>
      <c r="BG80" s="36">
        <f t="shared" si="112"/>
        <v>11916.130000000001</v>
      </c>
      <c r="BH80" s="36">
        <f t="shared" si="113"/>
        <v>5463.94</v>
      </c>
      <c r="BI80" s="36">
        <f t="shared" si="114"/>
        <v>-27.6</v>
      </c>
      <c r="BJ80" s="31">
        <f t="shared" si="115"/>
        <v>1738.5</v>
      </c>
      <c r="BK80" s="31">
        <f t="shared" si="116"/>
        <v>11352.570000000002</v>
      </c>
      <c r="BL80" s="31">
        <f t="shared" si="117"/>
        <v>6916.94</v>
      </c>
      <c r="BM80" s="31">
        <f>SUM(Q80:AB80)</f>
        <v>0</v>
      </c>
      <c r="BN80" s="31">
        <f>SUM(E80:P80)</f>
        <v>26.340000000000003</v>
      </c>
      <c r="BO80" s="31">
        <f>SUM(B80:D80)</f>
        <v>0</v>
      </c>
      <c r="BP80" s="7"/>
      <c r="BQ80" s="7"/>
    </row>
    <row r="81" spans="1:69" ht="14.4" x14ac:dyDescent="0.3">
      <c r="A81" s="4" t="s">
        <v>77</v>
      </c>
      <c r="B81" s="12">
        <v>6589.91</v>
      </c>
      <c r="C81" s="12">
        <v>2942.25</v>
      </c>
      <c r="D81" s="12">
        <f>SUM(D77:D80)</f>
        <v>6215.71</v>
      </c>
      <c r="E81" s="12">
        <v>6366.55</v>
      </c>
      <c r="F81" s="12">
        <v>8543.5300000000007</v>
      </c>
      <c r="G81" s="12">
        <v>7882.72</v>
      </c>
      <c r="H81" s="12">
        <v>15215.84</v>
      </c>
      <c r="I81" s="12">
        <v>7746.61</v>
      </c>
      <c r="J81" s="12">
        <v>7911.9</v>
      </c>
      <c r="K81" s="12">
        <v>10272.14</v>
      </c>
      <c r="L81" s="12">
        <v>13529.37</v>
      </c>
      <c r="M81" s="12">
        <v>23797.360000000001</v>
      </c>
      <c r="N81" s="12">
        <v>17472.54</v>
      </c>
      <c r="O81" s="12">
        <v>1272</v>
      </c>
      <c r="P81" s="12">
        <v>13290.64</v>
      </c>
      <c r="Q81" s="13">
        <f t="shared" ref="Q81:AB81" si="118">SUM(Q77:Q80)</f>
        <v>14954.13</v>
      </c>
      <c r="R81" s="13">
        <f t="shared" si="118"/>
        <v>11959.96</v>
      </c>
      <c r="S81" s="13">
        <f t="shared" si="118"/>
        <v>9801.7200000000012</v>
      </c>
      <c r="T81" s="13">
        <f t="shared" si="118"/>
        <v>20039.03</v>
      </c>
      <c r="U81" s="13">
        <f t="shared" si="118"/>
        <v>16478.349999999999</v>
      </c>
      <c r="V81" s="13">
        <f t="shared" si="118"/>
        <v>13089.18</v>
      </c>
      <c r="W81" s="25">
        <f t="shared" si="118"/>
        <v>12903.25</v>
      </c>
      <c r="X81" s="25">
        <f>SUM(X77:X80)</f>
        <v>11113.630000000001</v>
      </c>
      <c r="Y81" s="25">
        <f t="shared" ref="Y81" si="119">SUM(Y77:Y80)</f>
        <v>24461.870000000003</v>
      </c>
      <c r="Z81" s="25">
        <f t="shared" ref="Z81" si="120">SUM(Z77:Z80)</f>
        <v>20827.2</v>
      </c>
      <c r="AA81" s="25">
        <f t="shared" ref="AA81" si="121">SUM(AA77:AA80)</f>
        <v>42650.03</v>
      </c>
      <c r="AB81" s="25">
        <f t="shared" si="118"/>
        <v>67041.31</v>
      </c>
      <c r="AC81" s="25">
        <f t="shared" ref="AC81:AD81" si="122">SUM(AC77:AC80)</f>
        <v>42506.57</v>
      </c>
      <c r="AD81" s="25">
        <f t="shared" si="122"/>
        <v>41452.959999999999</v>
      </c>
      <c r="AE81" s="25">
        <f t="shared" ref="AE81:AF81" si="123">SUM(AE77:AE80)</f>
        <v>43793.98</v>
      </c>
      <c r="AF81" s="25">
        <f t="shared" si="123"/>
        <v>64062.71</v>
      </c>
      <c r="AG81" s="25">
        <f t="shared" ref="AG81:AH81" si="124">SUM(AG77:AG80)</f>
        <v>45125.24</v>
      </c>
      <c r="AH81" s="25">
        <f t="shared" si="124"/>
        <v>38668.699999999997</v>
      </c>
      <c r="AI81" s="25">
        <f t="shared" ref="AI81:AJ81" si="125">SUM(AI77:AI80)</f>
        <v>66155.05</v>
      </c>
      <c r="AJ81" s="25">
        <f t="shared" si="125"/>
        <v>57040.03</v>
      </c>
      <c r="AK81" s="25">
        <f t="shared" ref="AK81" si="126">SUM(AK77:AK80)</f>
        <v>60341.74</v>
      </c>
      <c r="AL81" s="25">
        <f t="shared" ref="AL81:AM81" si="127">SUM(AL77:AL80)</f>
        <v>72774.51999999999</v>
      </c>
      <c r="AM81" s="25">
        <f t="shared" si="127"/>
        <v>50591.590000000004</v>
      </c>
      <c r="AN81" s="25">
        <f t="shared" ref="AN81:AQ81" si="128">SUM(AN77:AN80)</f>
        <v>48664.61</v>
      </c>
      <c r="AO81" s="25">
        <f t="shared" si="128"/>
        <v>34741.42</v>
      </c>
      <c r="AP81" s="25">
        <f t="shared" si="128"/>
        <v>39974.39</v>
      </c>
      <c r="AQ81" s="25">
        <f t="shared" si="128"/>
        <v>57197.759999999995</v>
      </c>
      <c r="AR81" s="25">
        <f t="shared" ref="AR81:AW81" si="129">SUM(AR77:AR80)</f>
        <v>45235.770000000004</v>
      </c>
      <c r="AS81" s="25">
        <f t="shared" si="129"/>
        <v>29338</v>
      </c>
      <c r="AT81" s="25">
        <f t="shared" si="129"/>
        <v>67200.17</v>
      </c>
      <c r="AU81" s="25">
        <f t="shared" si="129"/>
        <v>57141.770000000004</v>
      </c>
      <c r="AV81" s="25">
        <f t="shared" si="129"/>
        <v>58980.799999999996</v>
      </c>
      <c r="AW81" s="25">
        <f t="shared" si="129"/>
        <v>47887.71</v>
      </c>
      <c r="AX81" s="25">
        <f t="shared" ref="AX81:BE81" si="130">SUM(AX76:AX80)</f>
        <v>49912.29</v>
      </c>
      <c r="AY81" s="25">
        <f t="shared" si="130"/>
        <v>72411.05</v>
      </c>
      <c r="AZ81" s="25">
        <f t="shared" si="130"/>
        <v>62406.950000000004</v>
      </c>
      <c r="BA81" s="25">
        <f t="shared" si="130"/>
        <v>80651.95</v>
      </c>
      <c r="BB81" s="25">
        <f t="shared" si="130"/>
        <v>57221.279999999999</v>
      </c>
      <c r="BC81" s="25">
        <f t="shared" si="130"/>
        <v>81622.649999999994</v>
      </c>
      <c r="BD81" s="25">
        <f t="shared" si="130"/>
        <v>90139.64</v>
      </c>
      <c r="BE81" s="25">
        <f t="shared" si="130"/>
        <v>71562.430000000008</v>
      </c>
      <c r="BF81" s="39">
        <f t="shared" si="111"/>
        <v>565928.24000000011</v>
      </c>
      <c r="BG81" s="39">
        <f t="shared" si="112"/>
        <v>609728.51</v>
      </c>
      <c r="BH81" s="37">
        <f t="shared" si="113"/>
        <v>589665.52</v>
      </c>
      <c r="BI81" s="37">
        <f t="shared" si="114"/>
        <v>166836.29999999999</v>
      </c>
      <c r="BJ81" s="32">
        <f t="shared" si="115"/>
        <v>381197.94999999995</v>
      </c>
      <c r="BK81" s="32">
        <f t="shared" si="116"/>
        <v>622428.07999999996</v>
      </c>
      <c r="BL81" s="32">
        <f t="shared" si="117"/>
        <v>631177.69999999995</v>
      </c>
      <c r="BM81" s="32">
        <f>SUM(Q81:AB81)</f>
        <v>265319.66000000003</v>
      </c>
      <c r="BN81" s="32">
        <f>SUM(E81:P81)</f>
        <v>133301.20000000001</v>
      </c>
      <c r="BO81" s="32">
        <f>SUM(B81:D81)</f>
        <v>15747.869999999999</v>
      </c>
      <c r="BP81" s="7" t="s">
        <v>169</v>
      </c>
      <c r="BQ81" s="7"/>
    </row>
    <row r="82" spans="1:69" s="4" customFormat="1" ht="14.4" x14ac:dyDescent="0.3">
      <c r="A82" s="1" t="s">
        <v>78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6"/>
      <c r="R82" s="17"/>
      <c r="S82" s="17"/>
      <c r="T82" s="17"/>
      <c r="U82" s="17"/>
      <c r="V82" s="17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36"/>
      <c r="BG82" s="36"/>
      <c r="BH82" s="43"/>
      <c r="BI82" s="43"/>
      <c r="BJ82" s="32"/>
      <c r="BK82" s="32"/>
      <c r="BL82" s="31"/>
      <c r="BM82" s="31"/>
      <c r="BN82" s="31"/>
      <c r="BO82" s="31"/>
      <c r="BP82" s="7"/>
      <c r="BQ82" s="7"/>
    </row>
    <row r="83" spans="1:69" ht="14.4" x14ac:dyDescent="0.3">
      <c r="A83" s="1" t="s">
        <v>79</v>
      </c>
      <c r="J83" s="8">
        <v>20</v>
      </c>
      <c r="K83" s="8">
        <v>20</v>
      </c>
      <c r="L83" s="8">
        <v>20</v>
      </c>
      <c r="M83" s="8">
        <v>20</v>
      </c>
      <c r="N83" s="8">
        <v>20</v>
      </c>
      <c r="O83" s="8">
        <v>20</v>
      </c>
      <c r="P83" s="8">
        <v>20</v>
      </c>
      <c r="Q83" s="9">
        <v>20</v>
      </c>
      <c r="R83" s="9">
        <v>20</v>
      </c>
      <c r="S83" s="9">
        <v>767.66</v>
      </c>
      <c r="T83" s="9">
        <v>573.79</v>
      </c>
      <c r="U83" s="9">
        <v>610.51</v>
      </c>
      <c r="V83" s="9">
        <v>547.16</v>
      </c>
      <c r="W83" s="24">
        <v>747.16</v>
      </c>
      <c r="X83" s="24">
        <v>747.16</v>
      </c>
      <c r="Y83" s="24">
        <v>747.16</v>
      </c>
      <c r="Z83" s="24">
        <v>747.16</v>
      </c>
      <c r="AA83" s="24">
        <v>747.16</v>
      </c>
      <c r="AB83" s="24">
        <v>822.3</v>
      </c>
      <c r="AC83" s="8">
        <v>942.3</v>
      </c>
      <c r="AD83" s="8">
        <v>1031.27</v>
      </c>
      <c r="AE83" s="8">
        <v>1031.27</v>
      </c>
      <c r="AF83" s="8">
        <v>1031.27</v>
      </c>
      <c r="AG83" s="8">
        <v>1031.27</v>
      </c>
      <c r="AH83" s="8">
        <v>1031.27</v>
      </c>
      <c r="AI83" s="8">
        <v>1031.27</v>
      </c>
      <c r="AJ83" s="8">
        <v>1031.27</v>
      </c>
      <c r="AK83" s="8">
        <v>1031.27</v>
      </c>
      <c r="AL83" s="8">
        <v>1031.27</v>
      </c>
      <c r="AM83" s="8">
        <v>1031.27</v>
      </c>
      <c r="AN83" s="8">
        <v>1031.27</v>
      </c>
      <c r="AO83" s="8">
        <v>1031.27</v>
      </c>
      <c r="AP83" s="8">
        <v>1031.27</v>
      </c>
      <c r="AQ83" s="8">
        <v>1031.27</v>
      </c>
      <c r="AR83" s="8">
        <v>1031.27</v>
      </c>
      <c r="AS83" s="8">
        <v>1031.27</v>
      </c>
      <c r="AT83" s="8">
        <v>1031.27</v>
      </c>
      <c r="AU83" s="8">
        <v>1031.27</v>
      </c>
      <c r="AV83" s="8">
        <v>1031.27</v>
      </c>
      <c r="AW83" s="8">
        <v>1031.27</v>
      </c>
      <c r="AX83" s="8">
        <v>1031.27</v>
      </c>
      <c r="AY83" s="8">
        <v>1031.27</v>
      </c>
      <c r="AZ83" s="8">
        <v>1031.27</v>
      </c>
      <c r="BA83" s="8">
        <v>1031.27</v>
      </c>
      <c r="BB83" s="8">
        <v>1031.27</v>
      </c>
      <c r="BC83" s="8">
        <v>1031.27</v>
      </c>
      <c r="BD83" s="8">
        <v>1031.27</v>
      </c>
      <c r="BE83" s="8">
        <v>1031.27</v>
      </c>
      <c r="BF83" s="36">
        <f>SUM(AX83:BE83)</f>
        <v>8250.1600000000017</v>
      </c>
      <c r="BG83" s="36">
        <f>SUM(AL83:AW83)</f>
        <v>12375.240000000003</v>
      </c>
      <c r="BH83" s="36">
        <f>SUM(Z83:AK83)</f>
        <v>11509.080000000004</v>
      </c>
      <c r="BI83" s="36">
        <f>SUM(N83:Y83)</f>
        <v>4840.5999999999995</v>
      </c>
      <c r="BJ83" s="31">
        <f>SUM(BA83:BE83)</f>
        <v>5156.3500000000004</v>
      </c>
      <c r="BK83" s="31">
        <f>SUM(AO83:AZ83)</f>
        <v>12375.240000000003</v>
      </c>
      <c r="BL83" s="31">
        <f>SUM(AC83:AN83)</f>
        <v>12286.270000000002</v>
      </c>
      <c r="BM83" s="31">
        <f>SUM(Q83:AB83)</f>
        <v>7097.2199999999993</v>
      </c>
      <c r="BN83" s="31">
        <f>SUM(E83:P83)</f>
        <v>140</v>
      </c>
      <c r="BO83" s="31">
        <f>SUM(B83:D83)</f>
        <v>0</v>
      </c>
      <c r="BP83" s="7"/>
      <c r="BQ83" s="7"/>
    </row>
    <row r="84" spans="1:69" ht="14.4" x14ac:dyDescent="0.3">
      <c r="A84" s="1" t="s">
        <v>80</v>
      </c>
      <c r="B84" s="8">
        <v>452.64</v>
      </c>
      <c r="C84" s="8">
        <v>452.64</v>
      </c>
      <c r="D84" s="8">
        <v>452.64</v>
      </c>
      <c r="E84" s="8">
        <v>452.64</v>
      </c>
      <c r="F84" s="8">
        <v>452.64</v>
      </c>
      <c r="G84" s="8">
        <v>452.64</v>
      </c>
      <c r="H84" s="8">
        <v>452.64</v>
      </c>
      <c r="I84" s="8">
        <v>452.64</v>
      </c>
      <c r="J84" s="8">
        <v>502.23</v>
      </c>
      <c r="K84" s="8">
        <v>213.6</v>
      </c>
      <c r="L84" s="8">
        <v>213.6</v>
      </c>
      <c r="M84" s="8">
        <v>213.6</v>
      </c>
      <c r="N84" s="8">
        <v>213.6</v>
      </c>
      <c r="O84" s="8">
        <v>213.6</v>
      </c>
      <c r="P84" s="8">
        <v>213.6</v>
      </c>
      <c r="Q84" s="9">
        <v>213.6</v>
      </c>
      <c r="R84" s="9">
        <v>213.6</v>
      </c>
      <c r="S84" s="9">
        <v>213.6</v>
      </c>
      <c r="T84" s="9">
        <v>213.6</v>
      </c>
      <c r="U84" s="9">
        <v>213.6</v>
      </c>
      <c r="V84" s="9">
        <v>213.6</v>
      </c>
      <c r="W84" s="24">
        <v>213.6</v>
      </c>
      <c r="X84" s="24">
        <v>12.16</v>
      </c>
      <c r="Y84" s="24">
        <v>112.88</v>
      </c>
      <c r="Z84" s="24">
        <v>112.88</v>
      </c>
      <c r="AA84" s="24">
        <v>112.88</v>
      </c>
      <c r="AB84" s="24">
        <v>-125.13</v>
      </c>
      <c r="AC84" s="8">
        <v>140.12</v>
      </c>
      <c r="AD84" s="8">
        <v>156.08000000000001</v>
      </c>
      <c r="AE84" s="8">
        <v>156.08000000000001</v>
      </c>
      <c r="AF84" s="8">
        <v>156.08000000000001</v>
      </c>
      <c r="AG84" s="8">
        <v>156.08000000000001</v>
      </c>
      <c r="AH84" s="8">
        <v>212.35</v>
      </c>
      <c r="AI84" s="8">
        <v>212.35</v>
      </c>
      <c r="AJ84" s="8">
        <v>245.61</v>
      </c>
      <c r="AK84" s="8">
        <v>40.659999999999997</v>
      </c>
      <c r="AL84" s="8">
        <v>185.67</v>
      </c>
      <c r="AM84" s="8">
        <v>185.67</v>
      </c>
      <c r="AN84" s="8">
        <v>185.67</v>
      </c>
      <c r="AO84" s="8">
        <v>185.67</v>
      </c>
      <c r="AP84" s="8">
        <v>185.67</v>
      </c>
      <c r="AQ84" s="8">
        <v>185.67</v>
      </c>
      <c r="AR84" s="8">
        <v>185.67</v>
      </c>
      <c r="AS84" s="8">
        <v>185.67</v>
      </c>
      <c r="AT84" s="8">
        <v>185.67</v>
      </c>
      <c r="AU84" s="8">
        <v>185.67</v>
      </c>
      <c r="AV84" s="8">
        <v>185.67</v>
      </c>
      <c r="AW84" s="8">
        <v>185.67</v>
      </c>
      <c r="AX84" s="8">
        <v>185.67</v>
      </c>
      <c r="AY84" s="8">
        <v>185.67</v>
      </c>
      <c r="AZ84" s="8">
        <v>185.67</v>
      </c>
      <c r="BA84" s="8">
        <v>185.67</v>
      </c>
      <c r="BB84" s="8">
        <v>185.67</v>
      </c>
      <c r="BC84" s="8">
        <v>156.78</v>
      </c>
      <c r="BD84" s="8">
        <v>176.04</v>
      </c>
      <c r="BE84" s="8">
        <v>176.04</v>
      </c>
      <c r="BF84" s="36">
        <f>SUM(AX84:BE84)</f>
        <v>1437.2099999999998</v>
      </c>
      <c r="BG84" s="36">
        <f>SUM(AL84:AW84)</f>
        <v>2228.0400000000004</v>
      </c>
      <c r="BH84" s="36">
        <f>SUM(Z84:AK84)</f>
        <v>1576.0400000000002</v>
      </c>
      <c r="BI84" s="36">
        <f>SUM(N84:Y84)</f>
        <v>2261.0399999999995</v>
      </c>
      <c r="BJ84" s="31">
        <f>SUM(BA84:BE84)</f>
        <v>880.19999999999993</v>
      </c>
      <c r="BK84" s="31">
        <f>SUM(AO84:AZ84)</f>
        <v>2228.0400000000004</v>
      </c>
      <c r="BL84" s="31">
        <f>SUM(AC84:AN84)</f>
        <v>2032.4200000000003</v>
      </c>
      <c r="BM84" s="31">
        <f>SUM(Q84:AB84)</f>
        <v>1720.87</v>
      </c>
      <c r="BN84" s="31">
        <f>SUM(E84:P84)</f>
        <v>4047.0299999999993</v>
      </c>
      <c r="BO84" s="31">
        <f>SUM(B84:D84)</f>
        <v>1357.92</v>
      </c>
      <c r="BP84" s="7"/>
      <c r="BQ84" s="7"/>
    </row>
    <row r="85" spans="1:69" ht="14.4" x14ac:dyDescent="0.3">
      <c r="A85" s="1" t="s">
        <v>81</v>
      </c>
      <c r="B85" s="8">
        <v>41.65</v>
      </c>
      <c r="C85" s="8">
        <v>41.65</v>
      </c>
      <c r="D85" s="8">
        <v>41.65</v>
      </c>
      <c r="E85" s="8">
        <v>41.65</v>
      </c>
      <c r="F85" s="8">
        <v>41.65</v>
      </c>
      <c r="G85" s="8">
        <v>41.65</v>
      </c>
      <c r="H85" s="8">
        <v>41.65</v>
      </c>
      <c r="I85" s="8">
        <v>41.65</v>
      </c>
      <c r="J85" s="8">
        <v>41.65</v>
      </c>
      <c r="K85" s="8">
        <v>41.65</v>
      </c>
      <c r="L85" s="8">
        <v>41.65</v>
      </c>
      <c r="M85" s="8">
        <v>41.65</v>
      </c>
      <c r="N85" s="8">
        <v>41.65</v>
      </c>
      <c r="O85" s="8">
        <v>41.65</v>
      </c>
      <c r="P85" s="8">
        <v>41.65</v>
      </c>
      <c r="Q85" s="9">
        <v>41.65</v>
      </c>
      <c r="R85" s="9">
        <v>41.65</v>
      </c>
      <c r="S85" s="9">
        <v>41.65</v>
      </c>
      <c r="T85" s="9">
        <v>41.65</v>
      </c>
      <c r="U85" s="9">
        <v>41.65</v>
      </c>
      <c r="V85" s="9">
        <v>41.65</v>
      </c>
      <c r="W85" s="24">
        <v>41.65</v>
      </c>
      <c r="X85" s="24">
        <v>41.65</v>
      </c>
      <c r="Y85" s="24">
        <v>41.65</v>
      </c>
      <c r="Z85" s="24">
        <v>41.65</v>
      </c>
      <c r="AA85" s="24">
        <v>41.65</v>
      </c>
      <c r="AB85" s="24"/>
      <c r="AC85" s="8">
        <v>0</v>
      </c>
      <c r="AD85" s="8">
        <v>13.15</v>
      </c>
      <c r="AE85" s="8">
        <v>13.15</v>
      </c>
      <c r="AF85" s="8">
        <v>13.15</v>
      </c>
      <c r="AG85" s="8">
        <v>13.15</v>
      </c>
      <c r="AH85" s="8">
        <v>13.15</v>
      </c>
      <c r="AI85" s="8">
        <v>13.15</v>
      </c>
      <c r="AJ85" s="8">
        <v>110.55</v>
      </c>
      <c r="AK85" s="8">
        <v>420.12</v>
      </c>
      <c r="AL85" s="8">
        <v>512.20000000000005</v>
      </c>
      <c r="AM85" s="8">
        <v>512.20000000000005</v>
      </c>
      <c r="AN85" s="8">
        <v>512.20000000000005</v>
      </c>
      <c r="AO85" s="8">
        <v>512.20000000000005</v>
      </c>
      <c r="AP85" s="8">
        <v>512.20000000000005</v>
      </c>
      <c r="AQ85" s="8">
        <v>512.20000000000005</v>
      </c>
      <c r="AR85" s="8">
        <v>512.20000000000005</v>
      </c>
      <c r="AS85" s="8">
        <v>512.20000000000005</v>
      </c>
      <c r="AT85" s="8">
        <v>512.20000000000005</v>
      </c>
      <c r="AU85" s="8">
        <v>512.20000000000005</v>
      </c>
      <c r="AV85" s="8">
        <v>512.20000000000005</v>
      </c>
      <c r="AW85" s="8">
        <v>512.20000000000005</v>
      </c>
      <c r="AX85" s="8">
        <v>512.20000000000005</v>
      </c>
      <c r="AY85" s="8">
        <v>512.20000000000005</v>
      </c>
      <c r="AZ85" s="8">
        <v>512.20000000000005</v>
      </c>
      <c r="BA85" s="8">
        <v>512.20000000000005</v>
      </c>
      <c r="BB85" s="8">
        <v>512.20000000000005</v>
      </c>
      <c r="BC85" s="8">
        <v>512.20000000000005</v>
      </c>
      <c r="BD85" s="8">
        <v>512.20000000000005</v>
      </c>
      <c r="BE85" s="8">
        <v>512.20000000000005</v>
      </c>
      <c r="BF85" s="36">
        <f>SUM(AX85:BE85)</f>
        <v>4097.5999999999995</v>
      </c>
      <c r="BG85" s="36">
        <f>SUM(AL85:AW85)</f>
        <v>6146.3999999999987</v>
      </c>
      <c r="BH85" s="36">
        <f>SUM(Z85:AK85)</f>
        <v>692.87</v>
      </c>
      <c r="BI85" s="36">
        <f>SUM(N85:Y85)</f>
        <v>499.7999999999999</v>
      </c>
      <c r="BJ85" s="31">
        <f>SUM(BA85:BE85)</f>
        <v>2561</v>
      </c>
      <c r="BK85" s="31">
        <f>SUM(AO85:AZ85)</f>
        <v>6146.3999999999987</v>
      </c>
      <c r="BL85" s="31">
        <f>SUM(AC85:AN85)</f>
        <v>2146.17</v>
      </c>
      <c r="BM85" s="31">
        <f>SUM(Q85:AB85)</f>
        <v>458.14999999999992</v>
      </c>
      <c r="BN85" s="31">
        <f>SUM(E85:P85)</f>
        <v>499.7999999999999</v>
      </c>
      <c r="BO85" s="31">
        <f>SUM(B85:D85)</f>
        <v>124.94999999999999</v>
      </c>
      <c r="BP85" s="7"/>
      <c r="BQ85" s="7"/>
    </row>
    <row r="86" spans="1:69" ht="14.4" x14ac:dyDescent="0.3">
      <c r="A86" s="4" t="s">
        <v>82</v>
      </c>
      <c r="B86" s="12">
        <v>494.29</v>
      </c>
      <c r="C86" s="12">
        <v>494.29</v>
      </c>
      <c r="D86" s="12">
        <v>494.29</v>
      </c>
      <c r="E86" s="12">
        <v>494.29</v>
      </c>
      <c r="F86" s="12">
        <v>494.29</v>
      </c>
      <c r="G86" s="12">
        <v>494.29</v>
      </c>
      <c r="H86" s="12">
        <v>494.29</v>
      </c>
      <c r="I86" s="12">
        <v>494.29</v>
      </c>
      <c r="J86" s="12">
        <v>563.88</v>
      </c>
      <c r="K86" s="12">
        <v>275.25</v>
      </c>
      <c r="L86" s="12">
        <v>275.25</v>
      </c>
      <c r="M86" s="12">
        <v>275.25</v>
      </c>
      <c r="N86" s="12">
        <v>275.25</v>
      </c>
      <c r="O86" s="12">
        <v>275.25</v>
      </c>
      <c r="P86" s="12">
        <v>275.25</v>
      </c>
      <c r="Q86" s="13">
        <f t="shared" ref="Q86:V86" si="131">SUM(Q83:Q85)</f>
        <v>275.25</v>
      </c>
      <c r="R86" s="13">
        <f t="shared" si="131"/>
        <v>275.25</v>
      </c>
      <c r="S86" s="13">
        <f t="shared" si="131"/>
        <v>1022.91</v>
      </c>
      <c r="T86" s="13">
        <f t="shared" si="131"/>
        <v>829.04</v>
      </c>
      <c r="U86" s="13">
        <f t="shared" si="131"/>
        <v>865.76</v>
      </c>
      <c r="V86" s="13">
        <f t="shared" si="131"/>
        <v>802.41</v>
      </c>
      <c r="W86" s="13">
        <f t="shared" ref="W86:AB86" si="132">SUM(W83:W85)</f>
        <v>1002.41</v>
      </c>
      <c r="X86" s="13">
        <f t="shared" si="132"/>
        <v>800.96999999999991</v>
      </c>
      <c r="Y86" s="13">
        <f t="shared" si="132"/>
        <v>901.68999999999994</v>
      </c>
      <c r="Z86" s="13">
        <f t="shared" si="132"/>
        <v>901.68999999999994</v>
      </c>
      <c r="AA86" s="13">
        <f t="shared" si="132"/>
        <v>901.68999999999994</v>
      </c>
      <c r="AB86" s="13">
        <f t="shared" si="132"/>
        <v>697.17</v>
      </c>
      <c r="AC86" s="13">
        <f t="shared" ref="AC86:AD86" si="133">SUM(AC83:AC85)</f>
        <v>1082.42</v>
      </c>
      <c r="AD86" s="13">
        <f t="shared" si="133"/>
        <v>1200.5</v>
      </c>
      <c r="AE86" s="13">
        <f t="shared" ref="AE86:AF86" si="134">SUM(AE83:AE85)</f>
        <v>1200.5</v>
      </c>
      <c r="AF86" s="13">
        <f t="shared" si="134"/>
        <v>1200.5</v>
      </c>
      <c r="AG86" s="13">
        <f t="shared" ref="AG86:AH86" si="135">SUM(AG83:AG85)</f>
        <v>1200.5</v>
      </c>
      <c r="AH86" s="13">
        <f t="shared" si="135"/>
        <v>1256.77</v>
      </c>
      <c r="AI86" s="13">
        <f t="shared" ref="AI86:AJ86" si="136">SUM(AI83:AI85)</f>
        <v>1256.77</v>
      </c>
      <c r="AJ86" s="13">
        <f t="shared" si="136"/>
        <v>1387.43</v>
      </c>
      <c r="AK86" s="13">
        <f t="shared" ref="AK86" si="137">SUM(AK83:AK85)</f>
        <v>1492.0500000000002</v>
      </c>
      <c r="AL86" s="13">
        <f t="shared" ref="AL86:AM86" si="138">SUM(AL83:AL85)</f>
        <v>1729.14</v>
      </c>
      <c r="AM86" s="13">
        <f t="shared" si="138"/>
        <v>1729.14</v>
      </c>
      <c r="AN86" s="13">
        <f t="shared" ref="AN86:AQ86" si="139">SUM(AN83:AN85)</f>
        <v>1729.14</v>
      </c>
      <c r="AO86" s="13">
        <f t="shared" si="139"/>
        <v>1729.14</v>
      </c>
      <c r="AP86" s="13">
        <f t="shared" si="139"/>
        <v>1729.14</v>
      </c>
      <c r="AQ86" s="13">
        <f t="shared" si="139"/>
        <v>1729.14</v>
      </c>
      <c r="AR86" s="13">
        <f t="shared" ref="AR86:BE86" si="140">SUM(AR83:AR85)</f>
        <v>1729.14</v>
      </c>
      <c r="AS86" s="13">
        <f t="shared" si="140"/>
        <v>1729.14</v>
      </c>
      <c r="AT86" s="13">
        <f t="shared" si="140"/>
        <v>1729.14</v>
      </c>
      <c r="AU86" s="13">
        <f t="shared" si="140"/>
        <v>1729.14</v>
      </c>
      <c r="AV86" s="13">
        <f t="shared" si="140"/>
        <v>1729.14</v>
      </c>
      <c r="AW86" s="13">
        <f t="shared" si="140"/>
        <v>1729.14</v>
      </c>
      <c r="AX86" s="13">
        <f t="shared" si="140"/>
        <v>1729.14</v>
      </c>
      <c r="AY86" s="13">
        <f t="shared" si="140"/>
        <v>1729.14</v>
      </c>
      <c r="AZ86" s="13">
        <f t="shared" si="140"/>
        <v>1729.14</v>
      </c>
      <c r="BA86" s="13">
        <f t="shared" si="140"/>
        <v>1729.14</v>
      </c>
      <c r="BB86" s="13">
        <f t="shared" si="140"/>
        <v>1729.14</v>
      </c>
      <c r="BC86" s="13">
        <f t="shared" si="140"/>
        <v>1700.25</v>
      </c>
      <c r="BD86" s="13">
        <f t="shared" si="140"/>
        <v>1719.51</v>
      </c>
      <c r="BE86" s="13">
        <f t="shared" si="140"/>
        <v>1719.51</v>
      </c>
      <c r="BF86" s="39">
        <f>SUM(AX86:BE86)</f>
        <v>13784.970000000001</v>
      </c>
      <c r="BG86" s="39">
        <f>SUM(AL86:AW86)</f>
        <v>20749.679999999997</v>
      </c>
      <c r="BH86" s="37">
        <f>SUM(Z86:AK86)</f>
        <v>13777.990000000002</v>
      </c>
      <c r="BI86" s="37">
        <f>SUM(N86:Y86)</f>
        <v>7601.44</v>
      </c>
      <c r="BJ86" s="32">
        <f>SUM(BA86:BE86)</f>
        <v>8597.5500000000011</v>
      </c>
      <c r="BK86" s="32">
        <f>SUM(AO86:AZ86)</f>
        <v>20749.679999999997</v>
      </c>
      <c r="BL86" s="32">
        <f>SUM(AC86:AN86)</f>
        <v>16464.86</v>
      </c>
      <c r="BM86" s="32">
        <f>SUM(Q86:AB86)</f>
        <v>9276.24</v>
      </c>
      <c r="BN86" s="32">
        <f>SUM(E86:P86)</f>
        <v>4686.83</v>
      </c>
      <c r="BO86" s="32">
        <f>SUM(B86:D86)</f>
        <v>1482.8700000000001</v>
      </c>
      <c r="BP86" s="7" t="s">
        <v>169</v>
      </c>
      <c r="BQ86" s="7"/>
    </row>
    <row r="87" spans="1:69" s="4" customFormat="1" ht="14.4" x14ac:dyDescent="0.3">
      <c r="A87" s="1" t="s">
        <v>83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6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/>
      <c r="AX87" s="8"/>
      <c r="AY87" s="8"/>
      <c r="AZ87" s="8"/>
      <c r="BA87" s="8"/>
      <c r="BB87" s="8"/>
      <c r="BC87" s="8"/>
      <c r="BD87" s="8"/>
      <c r="BE87" s="8"/>
      <c r="BF87" s="36"/>
      <c r="BG87" s="36"/>
      <c r="BH87" s="43"/>
      <c r="BI87" s="43"/>
      <c r="BJ87" s="32"/>
      <c r="BK87" s="32"/>
      <c r="BL87" s="31"/>
      <c r="BM87" s="31"/>
      <c r="BN87" s="31"/>
      <c r="BO87" s="31"/>
      <c r="BP87" s="7"/>
      <c r="BQ87" s="7"/>
    </row>
    <row r="88" spans="1:69" ht="14.4" x14ac:dyDescent="0.3">
      <c r="A88" s="1" t="s">
        <v>84</v>
      </c>
      <c r="D88" s="1">
        <v>-200.23</v>
      </c>
      <c r="Q88" s="9">
        <v>0</v>
      </c>
      <c r="R88" s="10"/>
      <c r="S88" s="10"/>
      <c r="T88" s="10"/>
      <c r="U88" s="10"/>
      <c r="V88" s="10"/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 t="s">
        <v>133</v>
      </c>
      <c r="BB88" s="8"/>
      <c r="BC88" s="8"/>
      <c r="BD88" s="8"/>
      <c r="BE88" s="8"/>
      <c r="BF88" s="36">
        <f t="shared" ref="BF88:BF97" si="141">SUM(AX88:BE88)</f>
        <v>0</v>
      </c>
      <c r="BG88" s="36">
        <f t="shared" ref="BG88:BG97" si="142">SUM(AL88:AW88)</f>
        <v>0</v>
      </c>
      <c r="BH88" s="35"/>
      <c r="BI88" s="35">
        <f t="shared" ref="BI88:BI95" si="143">SUM(N88:Y88)</f>
        <v>0</v>
      </c>
      <c r="BJ88" s="31">
        <f t="shared" ref="BJ88:BJ97" si="144">SUM(BA88:BE88)</f>
        <v>0</v>
      </c>
      <c r="BK88" s="31">
        <f t="shared" ref="BK88:BK97" si="145">SUM(AO88:AZ88)</f>
        <v>0</v>
      </c>
      <c r="BL88" s="31">
        <f t="shared" ref="BL88:BL97" si="146">SUM(AC88:AN88)</f>
        <v>0</v>
      </c>
      <c r="BM88" s="31">
        <f t="shared" ref="BM88:BM95" si="147">SUM(Z88:AB88)</f>
        <v>0</v>
      </c>
      <c r="BN88" s="31">
        <f t="shared" ref="BN88:BN95" si="148">SUM(E88:P88)</f>
        <v>0</v>
      </c>
      <c r="BO88" s="31">
        <f t="shared" ref="BO88:BO95" si="149">SUM(B88:D88)</f>
        <v>-200.23</v>
      </c>
      <c r="BP88" s="7"/>
      <c r="BQ88" s="7"/>
    </row>
    <row r="89" spans="1:69" ht="14.4" x14ac:dyDescent="0.3">
      <c r="A89" s="1" t="s">
        <v>85</v>
      </c>
      <c r="D89" s="8">
        <v>0</v>
      </c>
      <c r="G89" s="8">
        <v>-312.81</v>
      </c>
      <c r="H89" s="8">
        <v>-1234.7</v>
      </c>
      <c r="I89" s="8">
        <v>-1300.96</v>
      </c>
      <c r="J89" s="8">
        <v>-1389.97</v>
      </c>
      <c r="K89" s="8">
        <v>-2137.25</v>
      </c>
      <c r="L89" s="8">
        <v>-2443.84</v>
      </c>
      <c r="M89" s="8">
        <v>-2640.93</v>
      </c>
      <c r="N89" s="8">
        <v>-4027.64</v>
      </c>
      <c r="O89" s="8">
        <v>-11525.17</v>
      </c>
      <c r="P89" s="8">
        <v>-5036.84</v>
      </c>
      <c r="Q89" s="9">
        <v>-5462.39</v>
      </c>
      <c r="R89" s="10">
        <v>-6362.03</v>
      </c>
      <c r="S89" s="10">
        <v>-7048.01</v>
      </c>
      <c r="T89" s="10">
        <v>-7100.85</v>
      </c>
      <c r="U89" s="10">
        <v>-7137.39</v>
      </c>
      <c r="V89" s="10">
        <v>-7597.4</v>
      </c>
      <c r="W89" s="8">
        <v>-7984.39</v>
      </c>
      <c r="X89" s="8">
        <v>-9206.2800000000007</v>
      </c>
      <c r="Y89" s="8">
        <v>-9486.93</v>
      </c>
      <c r="Z89" s="8">
        <v>-10127.219999999999</v>
      </c>
      <c r="AA89" s="8">
        <v>-10791.9</v>
      </c>
      <c r="AB89" s="8">
        <v>-11615.6</v>
      </c>
      <c r="AC89" s="8">
        <v>-11290</v>
      </c>
      <c r="AD89" s="8">
        <v>-12066.6</v>
      </c>
      <c r="AE89" s="8">
        <v>-12994.7</v>
      </c>
      <c r="AF89" s="8">
        <v>-13953.05</v>
      </c>
      <c r="AG89" s="8">
        <v>-14880.31</v>
      </c>
      <c r="AH89" s="8">
        <v>-17209.759999999998</v>
      </c>
      <c r="AI89" s="8">
        <v>-18420.48</v>
      </c>
      <c r="AJ89" s="8">
        <v>-19041.740000000002</v>
      </c>
      <c r="AK89" s="8">
        <v>-19763.3</v>
      </c>
      <c r="AL89" s="8">
        <v>-19839.53</v>
      </c>
      <c r="AM89" s="8">
        <v>-18027.259999999998</v>
      </c>
      <c r="AN89" s="8">
        <v>-20715.54</v>
      </c>
      <c r="AO89" s="8">
        <v>-17278.259999999998</v>
      </c>
      <c r="AP89" s="8">
        <v>-19205.7</v>
      </c>
      <c r="AQ89" s="8">
        <v>-20715.46</v>
      </c>
      <c r="AR89" s="8">
        <v>-22131.16</v>
      </c>
      <c r="AS89" s="8">
        <v>-22206.34</v>
      </c>
      <c r="AT89" s="8">
        <v>-21733.32</v>
      </c>
      <c r="AU89" s="8">
        <v>-22531.59</v>
      </c>
      <c r="AV89" s="8">
        <v>-21878.84</v>
      </c>
      <c r="AW89" s="8">
        <v>-26079.73</v>
      </c>
      <c r="AX89" s="8">
        <v>-26168.33</v>
      </c>
      <c r="AY89" s="8">
        <v>-23716.21</v>
      </c>
      <c r="AZ89" s="8">
        <v>-23021.86</v>
      </c>
      <c r="BA89" s="8">
        <v>-25563.88</v>
      </c>
      <c r="BB89" s="8">
        <v>-25647.93</v>
      </c>
      <c r="BC89" s="8">
        <v>-24745.95</v>
      </c>
      <c r="BD89" s="8">
        <v>-29134.52</v>
      </c>
      <c r="BE89" s="8">
        <v>-31700.99</v>
      </c>
      <c r="BF89" s="36">
        <f t="shared" si="141"/>
        <v>-209699.66999999998</v>
      </c>
      <c r="BG89" s="36">
        <f t="shared" si="142"/>
        <v>-252342.73</v>
      </c>
      <c r="BH89" s="36">
        <f>SUM(Z89:AK89)</f>
        <v>-172154.65999999997</v>
      </c>
      <c r="BI89" s="36">
        <f t="shared" si="143"/>
        <v>-87975.32</v>
      </c>
      <c r="BJ89" s="31">
        <f t="shared" si="144"/>
        <v>-136793.26999999999</v>
      </c>
      <c r="BK89" s="31">
        <f t="shared" si="145"/>
        <v>-266666.8</v>
      </c>
      <c r="BL89" s="31">
        <f t="shared" si="146"/>
        <v>-198202.27000000002</v>
      </c>
      <c r="BM89" s="31">
        <f t="shared" si="147"/>
        <v>-32534.720000000001</v>
      </c>
      <c r="BN89" s="31">
        <f t="shared" si="148"/>
        <v>-32050.11</v>
      </c>
      <c r="BO89" s="31">
        <f t="shared" si="149"/>
        <v>0</v>
      </c>
      <c r="BP89" s="7"/>
      <c r="BQ89" s="7"/>
    </row>
    <row r="90" spans="1:69" ht="14.4" x14ac:dyDescent="0.3">
      <c r="A90" s="1" t="s">
        <v>86</v>
      </c>
      <c r="C90" s="8">
        <v>80.72</v>
      </c>
      <c r="D90" s="8">
        <v>555.95000000000005</v>
      </c>
      <c r="E90" s="8">
        <v>2694.84</v>
      </c>
      <c r="F90" s="8">
        <v>-604.23</v>
      </c>
      <c r="G90" s="8">
        <v>-689.41</v>
      </c>
      <c r="H90" s="8">
        <v>-337.87</v>
      </c>
      <c r="I90" s="8">
        <v>708.4</v>
      </c>
      <c r="J90" s="8">
        <v>-694.31</v>
      </c>
      <c r="K90" s="8">
        <v>-706.58</v>
      </c>
      <c r="L90" s="8">
        <v>-700.16</v>
      </c>
      <c r="M90" s="8">
        <v>-647.37</v>
      </c>
      <c r="N90" s="8">
        <v>-678.37</v>
      </c>
      <c r="O90" s="8">
        <v>7153.25</v>
      </c>
      <c r="P90" s="8">
        <v>127.98</v>
      </c>
      <c r="Q90" s="9">
        <v>183.67</v>
      </c>
      <c r="R90" s="10">
        <v>117.05</v>
      </c>
      <c r="S90" s="10">
        <v>102.91</v>
      </c>
      <c r="T90" s="10">
        <v>113.03</v>
      </c>
      <c r="U90" s="8">
        <v>124.56</v>
      </c>
      <c r="V90" s="8">
        <v>246.25</v>
      </c>
      <c r="W90" s="8">
        <v>227.05</v>
      </c>
      <c r="X90" s="8">
        <v>89.73</v>
      </c>
      <c r="Y90" s="8">
        <v>189.61</v>
      </c>
      <c r="Z90" s="8">
        <v>254.77</v>
      </c>
      <c r="AA90" s="8">
        <v>361.14</v>
      </c>
      <c r="AB90" s="8">
        <v>204.72</v>
      </c>
      <c r="AC90" s="8">
        <v>557.49</v>
      </c>
      <c r="AD90" s="8">
        <v>234.86</v>
      </c>
      <c r="AE90" s="8">
        <v>380.47</v>
      </c>
      <c r="AF90" s="8">
        <v>500.81</v>
      </c>
      <c r="AG90" s="8">
        <v>163.77000000000001</v>
      </c>
      <c r="AH90" s="8">
        <v>228.33</v>
      </c>
      <c r="AI90" s="8">
        <v>279.77</v>
      </c>
      <c r="AJ90" s="8">
        <v>187.3</v>
      </c>
      <c r="AK90" s="8">
        <v>258.45</v>
      </c>
      <c r="AL90" s="8">
        <v>374.55</v>
      </c>
      <c r="AM90" s="8">
        <v>178.84</v>
      </c>
      <c r="AN90" s="8">
        <v>170.38</v>
      </c>
      <c r="AO90" s="8">
        <v>367.39</v>
      </c>
      <c r="AP90" s="8">
        <v>265.35000000000002</v>
      </c>
      <c r="AQ90" s="8">
        <v>280.62</v>
      </c>
      <c r="AR90" s="8">
        <v>371.66</v>
      </c>
      <c r="AS90" s="8">
        <v>194.98</v>
      </c>
      <c r="AT90" s="8">
        <v>420.97</v>
      </c>
      <c r="AU90" s="8">
        <v>315.32</v>
      </c>
      <c r="AV90" s="8">
        <v>248.22</v>
      </c>
      <c r="AW90" s="8">
        <v>275.38</v>
      </c>
      <c r="AX90" s="8">
        <v>194.74</v>
      </c>
      <c r="AY90" s="8">
        <v>366.6</v>
      </c>
      <c r="AZ90" s="8">
        <v>282.33999999999997</v>
      </c>
      <c r="BA90" s="8">
        <v>259.52999999999997</v>
      </c>
      <c r="BB90" s="8">
        <v>341.49</v>
      </c>
      <c r="BC90" s="8">
        <v>336.34</v>
      </c>
      <c r="BD90" s="8">
        <v>558.87</v>
      </c>
      <c r="BE90" s="8">
        <v>302.18</v>
      </c>
      <c r="BF90" s="36">
        <f t="shared" si="141"/>
        <v>2642.0899999999997</v>
      </c>
      <c r="BG90" s="36">
        <f t="shared" si="142"/>
        <v>3463.66</v>
      </c>
      <c r="BH90" s="36">
        <f>SUM(Z90:AK90)</f>
        <v>3611.88</v>
      </c>
      <c r="BI90" s="36">
        <f t="shared" si="143"/>
        <v>7996.7199999999993</v>
      </c>
      <c r="BJ90" s="31">
        <f t="shared" si="144"/>
        <v>1798.41</v>
      </c>
      <c r="BK90" s="31">
        <f t="shared" si="145"/>
        <v>3583.57</v>
      </c>
      <c r="BL90" s="31">
        <f t="shared" si="146"/>
        <v>3515.0200000000004</v>
      </c>
      <c r="BM90" s="31">
        <f t="shared" si="147"/>
        <v>820.63</v>
      </c>
      <c r="BN90" s="31">
        <f t="shared" si="148"/>
        <v>5626.17</v>
      </c>
      <c r="BO90" s="31">
        <f t="shared" si="149"/>
        <v>636.67000000000007</v>
      </c>
      <c r="BP90" s="7"/>
      <c r="BQ90" s="7"/>
    </row>
    <row r="91" spans="1:69" ht="14.4" x14ac:dyDescent="0.3">
      <c r="A91" s="1" t="s">
        <v>87</v>
      </c>
      <c r="K91" s="8">
        <v>1012.42</v>
      </c>
      <c r="N91" s="8">
        <v>-133.56</v>
      </c>
      <c r="Q91" s="16">
        <v>-533.71</v>
      </c>
      <c r="R91" s="17"/>
      <c r="S91" s="17"/>
      <c r="T91" s="17">
        <v>-461.97</v>
      </c>
      <c r="W91" s="8">
        <v>-67.489999999999995</v>
      </c>
      <c r="Z91" s="1">
        <v>-66.900000000000006</v>
      </c>
      <c r="AC91" s="8">
        <v>-61.57</v>
      </c>
      <c r="AD91" s="8">
        <v>0</v>
      </c>
      <c r="AE91" s="8">
        <v>0</v>
      </c>
      <c r="AF91" s="8">
        <v>-86.34</v>
      </c>
      <c r="AG91" s="8">
        <v>0</v>
      </c>
      <c r="AH91" s="8">
        <v>0</v>
      </c>
      <c r="AI91" s="8">
        <v>-115.95</v>
      </c>
      <c r="AJ91" s="8">
        <v>0</v>
      </c>
      <c r="AK91" s="8">
        <v>0</v>
      </c>
      <c r="AL91" s="8">
        <v>-141.97999999999999</v>
      </c>
      <c r="AM91" s="8">
        <v>0</v>
      </c>
      <c r="AN91" s="8">
        <v>0</v>
      </c>
      <c r="AO91" s="8">
        <v>-134.72</v>
      </c>
      <c r="AP91" s="8">
        <v>0</v>
      </c>
      <c r="AQ91" s="8">
        <v>0</v>
      </c>
      <c r="AR91" s="8">
        <v>-156.04</v>
      </c>
      <c r="AS91" s="8">
        <v>0</v>
      </c>
      <c r="AT91" s="8">
        <v>0</v>
      </c>
      <c r="AU91" s="8">
        <v>-180.05</v>
      </c>
      <c r="AV91" s="8">
        <v>0</v>
      </c>
      <c r="AW91" s="8">
        <v>0</v>
      </c>
      <c r="AX91" s="8">
        <v>-289.7</v>
      </c>
      <c r="AY91" s="8">
        <v>0</v>
      </c>
      <c r="AZ91" s="8">
        <v>0</v>
      </c>
      <c r="BA91" s="8">
        <v>-311.64</v>
      </c>
      <c r="BB91" s="8">
        <v>0</v>
      </c>
      <c r="BC91" s="8">
        <v>0</v>
      </c>
      <c r="BD91" s="8">
        <v>-331.3</v>
      </c>
      <c r="BE91" s="8">
        <v>0</v>
      </c>
      <c r="BF91" s="36">
        <f t="shared" si="141"/>
        <v>-932.63999999999987</v>
      </c>
      <c r="BG91" s="36">
        <f t="shared" si="142"/>
        <v>-612.79</v>
      </c>
      <c r="BH91" s="35">
        <f>SUM(Z91:AK91)</f>
        <v>-330.76</v>
      </c>
      <c r="BI91" s="35">
        <f t="shared" si="143"/>
        <v>-1196.73</v>
      </c>
      <c r="BJ91" s="31">
        <f t="shared" si="144"/>
        <v>-642.94000000000005</v>
      </c>
      <c r="BK91" s="31">
        <f t="shared" si="145"/>
        <v>-760.51</v>
      </c>
      <c r="BL91" s="31">
        <f t="shared" si="146"/>
        <v>-405.84000000000003</v>
      </c>
      <c r="BM91" s="31">
        <f t="shared" si="147"/>
        <v>-66.900000000000006</v>
      </c>
      <c r="BN91" s="31">
        <f t="shared" si="148"/>
        <v>878.8599999999999</v>
      </c>
      <c r="BO91" s="31">
        <f t="shared" si="149"/>
        <v>0</v>
      </c>
      <c r="BP91" s="7"/>
      <c r="BQ91" s="7"/>
    </row>
    <row r="92" spans="1:69" ht="14.4" x14ac:dyDescent="0.3">
      <c r="A92" s="1" t="s">
        <v>123</v>
      </c>
      <c r="K92" s="8"/>
      <c r="N92" s="8"/>
      <c r="Q92" s="16"/>
      <c r="R92" s="17"/>
      <c r="S92" s="17"/>
      <c r="T92" s="8">
        <v>366</v>
      </c>
      <c r="X92" s="8"/>
      <c r="Y92" s="8"/>
      <c r="Z92" s="8"/>
      <c r="AA92" s="8"/>
      <c r="AB92" s="8"/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167</v>
      </c>
      <c r="AT92" s="8">
        <v>0</v>
      </c>
      <c r="AU92" s="8">
        <v>0</v>
      </c>
      <c r="AV92" s="8">
        <v>0</v>
      </c>
      <c r="AW92" s="8">
        <v>0</v>
      </c>
      <c r="AX92" s="8">
        <v>167</v>
      </c>
      <c r="AY92" s="8">
        <v>0</v>
      </c>
      <c r="AZ92" s="8">
        <v>0</v>
      </c>
      <c r="BA92" s="8" t="s">
        <v>133</v>
      </c>
      <c r="BB92" s="8"/>
      <c r="BC92" s="8"/>
      <c r="BD92" s="8"/>
      <c r="BE92" s="8"/>
      <c r="BF92" s="36">
        <f t="shared" si="141"/>
        <v>167</v>
      </c>
      <c r="BG92" s="36">
        <f t="shared" si="142"/>
        <v>167</v>
      </c>
      <c r="BH92" s="36">
        <v>0</v>
      </c>
      <c r="BI92" s="36">
        <f t="shared" si="143"/>
        <v>366</v>
      </c>
      <c r="BJ92" s="31">
        <f t="shared" si="144"/>
        <v>0</v>
      </c>
      <c r="BK92" s="31">
        <f t="shared" si="145"/>
        <v>334</v>
      </c>
      <c r="BL92" s="31">
        <f t="shared" si="146"/>
        <v>0</v>
      </c>
      <c r="BM92" s="31">
        <f t="shared" si="147"/>
        <v>0</v>
      </c>
      <c r="BN92" s="31">
        <f t="shared" si="148"/>
        <v>0</v>
      </c>
      <c r="BO92" s="31">
        <f t="shared" si="149"/>
        <v>0</v>
      </c>
      <c r="BP92" s="7"/>
      <c r="BQ92" s="7"/>
    </row>
    <row r="93" spans="1:69" ht="14.4" x14ac:dyDescent="0.3">
      <c r="A93" s="1" t="s">
        <v>88</v>
      </c>
      <c r="B93" s="8">
        <v>-2</v>
      </c>
      <c r="D93" s="8">
        <v>0</v>
      </c>
      <c r="E93" s="8">
        <v>0.27</v>
      </c>
      <c r="G93" s="8">
        <v>-10.45</v>
      </c>
      <c r="L93" s="8">
        <v>-0.01</v>
      </c>
      <c r="O93" s="8">
        <v>2.0099999999999998</v>
      </c>
      <c r="Q93" s="9">
        <v>4.3899999999999997</v>
      </c>
      <c r="R93" s="10">
        <v>-1.76</v>
      </c>
      <c r="S93" s="10">
        <v>-2.39</v>
      </c>
      <c r="T93" s="10">
        <v>-2.83</v>
      </c>
      <c r="U93" s="8">
        <v>-0.98</v>
      </c>
      <c r="V93" s="8">
        <v>16.71</v>
      </c>
      <c r="W93" s="8">
        <v>-147.87</v>
      </c>
      <c r="X93" s="8">
        <v>-9.61</v>
      </c>
      <c r="Y93" s="8">
        <v>18.46</v>
      </c>
      <c r="Z93" s="8">
        <v>20</v>
      </c>
      <c r="AA93" s="8">
        <v>49.89</v>
      </c>
      <c r="AB93" s="8">
        <v>50.84</v>
      </c>
      <c r="AC93" s="8">
        <v>0</v>
      </c>
      <c r="AD93" s="8">
        <v>0</v>
      </c>
      <c r="AE93" s="8">
        <v>0</v>
      </c>
      <c r="AF93" s="8">
        <v>-10.62</v>
      </c>
      <c r="AG93" s="8">
        <v>0</v>
      </c>
      <c r="AH93" s="8">
        <v>0</v>
      </c>
      <c r="AI93" s="8">
        <v>0</v>
      </c>
      <c r="AJ93" s="8">
        <v>40</v>
      </c>
      <c r="AK93" s="8">
        <v>0</v>
      </c>
      <c r="AL93" s="8">
        <v>31.5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242.59</v>
      </c>
      <c r="BA93" s="8">
        <v>0.4</v>
      </c>
      <c r="BB93" s="8">
        <v>0</v>
      </c>
      <c r="BC93" s="8">
        <v>0</v>
      </c>
      <c r="BD93" s="8">
        <v>0</v>
      </c>
      <c r="BE93" s="8">
        <v>0</v>
      </c>
      <c r="BF93" s="36">
        <f t="shared" si="141"/>
        <v>242.99</v>
      </c>
      <c r="BG93" s="36">
        <f t="shared" si="142"/>
        <v>31.5</v>
      </c>
      <c r="BH93" s="36">
        <f>SUM(Z93:AK93)</f>
        <v>150.11000000000001</v>
      </c>
      <c r="BI93" s="36">
        <f t="shared" si="143"/>
        <v>-123.86999999999998</v>
      </c>
      <c r="BJ93" s="31">
        <f t="shared" si="144"/>
        <v>0.4</v>
      </c>
      <c r="BK93" s="31">
        <f t="shared" si="145"/>
        <v>242.59</v>
      </c>
      <c r="BL93" s="31">
        <f t="shared" si="146"/>
        <v>60.88</v>
      </c>
      <c r="BM93" s="31">
        <f t="shared" si="147"/>
        <v>120.73</v>
      </c>
      <c r="BN93" s="31">
        <f t="shared" si="148"/>
        <v>-8.18</v>
      </c>
      <c r="BO93" s="31">
        <f t="shared" si="149"/>
        <v>-2</v>
      </c>
      <c r="BP93" s="7"/>
      <c r="BQ93" s="7"/>
    </row>
    <row r="94" spans="1:69" ht="14.4" x14ac:dyDescent="0.3">
      <c r="A94" s="1" t="s">
        <v>89</v>
      </c>
      <c r="E94" s="8">
        <v>-321.38</v>
      </c>
      <c r="J94" s="8">
        <v>31.8</v>
      </c>
      <c r="M94" s="8">
        <v>-1051.8800000000001</v>
      </c>
      <c r="O94" s="8">
        <v>653.36</v>
      </c>
      <c r="P94" s="8">
        <v>-2.2200000000000002</v>
      </c>
      <c r="Q94" s="9">
        <v>31.02</v>
      </c>
      <c r="R94" s="10">
        <v>4.5600000000000005</v>
      </c>
      <c r="S94" s="10">
        <v>-33.44</v>
      </c>
      <c r="T94" s="10">
        <v>45.47</v>
      </c>
      <c r="U94" s="8">
        <v>-643.58000000000004</v>
      </c>
      <c r="V94" s="8">
        <v>-3158.75</v>
      </c>
      <c r="W94" s="8">
        <v>276.36</v>
      </c>
      <c r="X94" s="8">
        <v>3107.45</v>
      </c>
      <c r="Y94" s="8">
        <v>1138.99</v>
      </c>
      <c r="Z94" s="8">
        <v>-1970.5</v>
      </c>
      <c r="AA94" s="8">
        <v>-161.44</v>
      </c>
      <c r="AB94" s="8">
        <v>-0.82</v>
      </c>
      <c r="AC94" s="8">
        <v>-76.38</v>
      </c>
      <c r="AD94" s="8">
        <v>-832.01</v>
      </c>
      <c r="AE94" s="8">
        <v>-2028.19</v>
      </c>
      <c r="AF94" s="8">
        <v>2184.87</v>
      </c>
      <c r="AG94" s="8">
        <v>3588.59</v>
      </c>
      <c r="AH94" s="8">
        <v>3170.03</v>
      </c>
      <c r="AI94" s="8">
        <v>-5888.66</v>
      </c>
      <c r="AJ94" s="8">
        <v>-6149.08</v>
      </c>
      <c r="AK94" s="8">
        <v>-5161.05</v>
      </c>
      <c r="AL94" s="8">
        <v>-6938.13</v>
      </c>
      <c r="AM94" s="8">
        <v>378.1</v>
      </c>
      <c r="AN94" s="8">
        <v>7311.64</v>
      </c>
      <c r="AO94" s="8">
        <v>16243.26</v>
      </c>
      <c r="AP94" s="8">
        <v>-744.5</v>
      </c>
      <c r="AQ94" s="8">
        <v>8307.82</v>
      </c>
      <c r="AR94" s="8">
        <v>-5546.08</v>
      </c>
      <c r="AS94" s="8">
        <v>6278.01</v>
      </c>
      <c r="AT94" s="8">
        <v>-15507.03</v>
      </c>
      <c r="AU94" s="8">
        <v>12204.97</v>
      </c>
      <c r="AV94" s="8">
        <v>225.89</v>
      </c>
      <c r="AW94" s="8">
        <v>7676.7</v>
      </c>
      <c r="AX94" s="8">
        <v>6974.5</v>
      </c>
      <c r="AY94" s="8">
        <v>-3684.38</v>
      </c>
      <c r="AZ94" s="8">
        <v>-12761.1</v>
      </c>
      <c r="BA94" s="8">
        <v>7962.83</v>
      </c>
      <c r="BB94" s="8">
        <v>-2503.8200000000002</v>
      </c>
      <c r="BC94" s="8">
        <v>-12143.06</v>
      </c>
      <c r="BD94" s="8">
        <v>3415.18</v>
      </c>
      <c r="BE94" s="8">
        <v>5880.06</v>
      </c>
      <c r="BF94" s="36">
        <f t="shared" si="141"/>
        <v>-6859.7899999999981</v>
      </c>
      <c r="BG94" s="36">
        <f t="shared" si="142"/>
        <v>29890.65</v>
      </c>
      <c r="BH94" s="36">
        <f>SUM(Z94:AK94)</f>
        <v>-13324.64</v>
      </c>
      <c r="BI94" s="36">
        <f t="shared" si="143"/>
        <v>1419.22</v>
      </c>
      <c r="BJ94" s="31">
        <f t="shared" si="144"/>
        <v>2611.190000000001</v>
      </c>
      <c r="BK94" s="31">
        <f t="shared" si="145"/>
        <v>19668.059999999998</v>
      </c>
      <c r="BL94" s="31">
        <f t="shared" si="146"/>
        <v>-10440.270000000004</v>
      </c>
      <c r="BM94" s="31">
        <f t="shared" si="147"/>
        <v>-2132.7600000000002</v>
      </c>
      <c r="BN94" s="31">
        <f t="shared" si="148"/>
        <v>-690.32</v>
      </c>
      <c r="BO94" s="31">
        <f t="shared" si="149"/>
        <v>0</v>
      </c>
      <c r="BP94" s="7"/>
      <c r="BQ94" s="7"/>
    </row>
    <row r="95" spans="1:69" ht="14.4" x14ac:dyDescent="0.3">
      <c r="A95" s="1" t="s">
        <v>90</v>
      </c>
      <c r="N95" s="8">
        <v>-54.01</v>
      </c>
      <c r="Q95" s="16"/>
      <c r="R95" s="17"/>
      <c r="S95" s="17"/>
      <c r="T95" s="17"/>
      <c r="U95" s="17"/>
      <c r="V95" s="17"/>
      <c r="W95" s="8"/>
      <c r="X95" s="8"/>
      <c r="Y95" s="8"/>
      <c r="Z95" s="8"/>
      <c r="AA95" s="8"/>
      <c r="AB95" s="8"/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 t="s">
        <v>133</v>
      </c>
      <c r="BB95" s="8"/>
      <c r="BC95" s="8"/>
      <c r="BD95" s="8"/>
      <c r="BE95" s="8"/>
      <c r="BF95" s="36">
        <f t="shared" si="141"/>
        <v>0</v>
      </c>
      <c r="BG95" s="36">
        <f t="shared" si="142"/>
        <v>0</v>
      </c>
      <c r="BH95" s="36"/>
      <c r="BI95" s="36">
        <f t="shared" si="143"/>
        <v>-54.01</v>
      </c>
      <c r="BJ95" s="31">
        <f t="shared" si="144"/>
        <v>0</v>
      </c>
      <c r="BK95" s="31">
        <f t="shared" si="145"/>
        <v>0</v>
      </c>
      <c r="BL95" s="31">
        <f t="shared" si="146"/>
        <v>0</v>
      </c>
      <c r="BM95" s="31">
        <f t="shared" si="147"/>
        <v>0</v>
      </c>
      <c r="BN95" s="31">
        <f t="shared" si="148"/>
        <v>-54.01</v>
      </c>
      <c r="BO95" s="31">
        <f t="shared" si="149"/>
        <v>0</v>
      </c>
      <c r="BP95" s="7"/>
      <c r="BQ95" s="7"/>
    </row>
    <row r="96" spans="1:69" ht="14.4" x14ac:dyDescent="0.3">
      <c r="A96" s="1" t="s">
        <v>106</v>
      </c>
      <c r="N96" s="8"/>
      <c r="Q96" s="16"/>
      <c r="R96" s="17"/>
      <c r="S96" s="17"/>
      <c r="T96" s="17"/>
      <c r="U96" s="17"/>
      <c r="V96" s="17"/>
      <c r="W96" s="8"/>
      <c r="X96" s="8"/>
      <c r="Y96" s="8"/>
      <c r="Z96" s="8"/>
      <c r="AA96" s="8"/>
      <c r="AB96" s="8"/>
      <c r="AC96" s="8">
        <v>0</v>
      </c>
      <c r="AD96" s="8">
        <v>-1218.51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 t="s">
        <v>133</v>
      </c>
      <c r="BB96" s="8"/>
      <c r="BC96" s="8"/>
      <c r="BD96" s="8"/>
      <c r="BE96" s="8"/>
      <c r="BF96" s="36">
        <f t="shared" si="141"/>
        <v>0</v>
      </c>
      <c r="BG96" s="36">
        <f t="shared" si="142"/>
        <v>0</v>
      </c>
      <c r="BH96" s="36">
        <f>SUM(Z96:AK96)</f>
        <v>-1218.51</v>
      </c>
      <c r="BI96" s="36"/>
      <c r="BJ96" s="31">
        <f t="shared" si="144"/>
        <v>0</v>
      </c>
      <c r="BK96" s="31">
        <f t="shared" si="145"/>
        <v>0</v>
      </c>
      <c r="BL96" s="31">
        <f t="shared" si="146"/>
        <v>-1218.51</v>
      </c>
      <c r="BM96" s="31"/>
      <c r="BN96" s="31"/>
      <c r="BO96" s="31"/>
      <c r="BP96" s="7"/>
      <c r="BQ96" s="7"/>
    </row>
    <row r="97" spans="1:69" ht="14.4" x14ac:dyDescent="0.3">
      <c r="A97" s="4" t="s">
        <v>91</v>
      </c>
      <c r="B97" s="12">
        <v>-2</v>
      </c>
      <c r="C97" s="12">
        <v>80.72</v>
      </c>
      <c r="D97" s="12">
        <f>SUM(D88:D95)</f>
        <v>355.72</v>
      </c>
      <c r="E97" s="12">
        <v>2373.73</v>
      </c>
      <c r="F97" s="12">
        <v>-604.23</v>
      </c>
      <c r="G97" s="12">
        <v>-1012.67</v>
      </c>
      <c r="H97" s="12">
        <v>-1572.57</v>
      </c>
      <c r="I97" s="12">
        <v>-592.55999999999995</v>
      </c>
      <c r="J97" s="12">
        <v>-2052.48</v>
      </c>
      <c r="K97" s="12">
        <v>-1831.41</v>
      </c>
      <c r="L97" s="12">
        <v>-3144.01</v>
      </c>
      <c r="M97" s="12">
        <v>-4340.18</v>
      </c>
      <c r="N97" s="12">
        <v>-4893.58</v>
      </c>
      <c r="O97" s="12">
        <v>-3716.55</v>
      </c>
      <c r="P97" s="12">
        <v>-4911.08</v>
      </c>
      <c r="Q97" s="13">
        <f t="shared" ref="Q97:AC97" si="150">SUM(Q88:Q95)</f>
        <v>-5777.0199999999995</v>
      </c>
      <c r="R97" s="13">
        <f t="shared" si="150"/>
        <v>-6242.1799999999994</v>
      </c>
      <c r="S97" s="13">
        <f t="shared" si="150"/>
        <v>-6980.93</v>
      </c>
      <c r="T97" s="13">
        <f t="shared" si="150"/>
        <v>-7041.1500000000005</v>
      </c>
      <c r="U97" s="13">
        <f t="shared" si="150"/>
        <v>-7657.3899999999994</v>
      </c>
      <c r="V97" s="13">
        <f t="shared" si="150"/>
        <v>-10493.189999999999</v>
      </c>
      <c r="W97" s="13">
        <f t="shared" si="150"/>
        <v>-7696.34</v>
      </c>
      <c r="X97" s="13">
        <f t="shared" si="150"/>
        <v>-6018.7100000000019</v>
      </c>
      <c r="Y97" s="13">
        <f t="shared" si="150"/>
        <v>-8139.8700000000008</v>
      </c>
      <c r="Z97" s="13">
        <f t="shared" si="150"/>
        <v>-11889.849999999999</v>
      </c>
      <c r="AA97" s="13">
        <f t="shared" si="150"/>
        <v>-10542.310000000001</v>
      </c>
      <c r="AB97" s="13">
        <f t="shared" si="150"/>
        <v>-11360.86</v>
      </c>
      <c r="AC97" s="13">
        <f t="shared" si="150"/>
        <v>-10870.46</v>
      </c>
      <c r="AD97" s="13">
        <f t="shared" ref="AD97:BE97" si="151">SUM(AD88:AD96)</f>
        <v>-13882.26</v>
      </c>
      <c r="AE97" s="13">
        <f t="shared" si="151"/>
        <v>-14642.420000000002</v>
      </c>
      <c r="AF97" s="13">
        <f t="shared" si="151"/>
        <v>-11364.330000000002</v>
      </c>
      <c r="AG97" s="13">
        <f t="shared" si="151"/>
        <v>-11127.949999999999</v>
      </c>
      <c r="AH97" s="13">
        <f t="shared" si="151"/>
        <v>-13811.399999999996</v>
      </c>
      <c r="AI97" s="13">
        <f t="shared" si="151"/>
        <v>-24145.32</v>
      </c>
      <c r="AJ97" s="13">
        <f t="shared" si="151"/>
        <v>-24963.520000000004</v>
      </c>
      <c r="AK97" s="13">
        <f t="shared" si="151"/>
        <v>-24665.899999999998</v>
      </c>
      <c r="AL97" s="13">
        <f t="shared" si="151"/>
        <v>-26513.59</v>
      </c>
      <c r="AM97" s="13">
        <f t="shared" si="151"/>
        <v>-17470.32</v>
      </c>
      <c r="AN97" s="13">
        <f t="shared" si="151"/>
        <v>-13233.52</v>
      </c>
      <c r="AO97" s="13">
        <f t="shared" si="151"/>
        <v>-802.32999999999993</v>
      </c>
      <c r="AP97" s="13">
        <f t="shared" si="151"/>
        <v>-19684.850000000002</v>
      </c>
      <c r="AQ97" s="13">
        <f t="shared" si="151"/>
        <v>-12127.02</v>
      </c>
      <c r="AR97" s="13">
        <f t="shared" si="151"/>
        <v>-27461.620000000003</v>
      </c>
      <c r="AS97" s="13">
        <f t="shared" si="151"/>
        <v>-15566.35</v>
      </c>
      <c r="AT97" s="13">
        <f t="shared" si="151"/>
        <v>-36819.379999999997</v>
      </c>
      <c r="AU97" s="13">
        <f t="shared" si="151"/>
        <v>-10191.35</v>
      </c>
      <c r="AV97" s="13">
        <f t="shared" si="151"/>
        <v>-21404.73</v>
      </c>
      <c r="AW97" s="13">
        <f t="shared" si="151"/>
        <v>-18127.649999999998</v>
      </c>
      <c r="AX97" s="13">
        <f t="shared" si="151"/>
        <v>-19121.79</v>
      </c>
      <c r="AY97" s="13">
        <f t="shared" si="151"/>
        <v>-27033.99</v>
      </c>
      <c r="AZ97" s="13">
        <f t="shared" si="151"/>
        <v>-35258.03</v>
      </c>
      <c r="BA97" s="13">
        <f t="shared" si="151"/>
        <v>-17652.760000000002</v>
      </c>
      <c r="BB97" s="13">
        <f t="shared" si="151"/>
        <v>-27810.26</v>
      </c>
      <c r="BC97" s="13">
        <f t="shared" si="151"/>
        <v>-36552.67</v>
      </c>
      <c r="BD97" s="13">
        <f t="shared" si="151"/>
        <v>-25491.77</v>
      </c>
      <c r="BE97" s="13">
        <f t="shared" si="151"/>
        <v>-25518.75</v>
      </c>
      <c r="BF97" s="39">
        <f t="shared" si="141"/>
        <v>-214440.02</v>
      </c>
      <c r="BG97" s="39">
        <f t="shared" si="142"/>
        <v>-219402.71000000005</v>
      </c>
      <c r="BH97" s="37">
        <f>SUM(Z97:AK97)</f>
        <v>-183266.58</v>
      </c>
      <c r="BI97" s="37">
        <f>SUM(N97:Y97)</f>
        <v>-79567.989999999991</v>
      </c>
      <c r="BJ97" s="32">
        <f t="shared" si="144"/>
        <v>-133026.21000000002</v>
      </c>
      <c r="BK97" s="32">
        <f t="shared" si="145"/>
        <v>-243599.09000000003</v>
      </c>
      <c r="BL97" s="32">
        <f t="shared" si="146"/>
        <v>-206690.99</v>
      </c>
      <c r="BM97" s="32">
        <f>SUM(Q97:AB97)</f>
        <v>-99839.8</v>
      </c>
      <c r="BN97" s="32">
        <f>SUM(E97:P97)</f>
        <v>-26297.589999999997</v>
      </c>
      <c r="BO97" s="32">
        <f>SUM(B97:D97)</f>
        <v>434.44000000000005</v>
      </c>
      <c r="BP97" s="7" t="s">
        <v>171</v>
      </c>
      <c r="BQ97" s="7"/>
    </row>
    <row r="98" spans="1:69" s="4" customFormat="1" ht="14.4" x14ac:dyDescent="0.3">
      <c r="A98" s="1" t="s">
        <v>92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6"/>
      <c r="R98" s="17"/>
      <c r="S98" s="17"/>
      <c r="T98" s="17"/>
      <c r="U98" s="17"/>
      <c r="V98" s="17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36"/>
      <c r="BG98" s="36"/>
      <c r="BH98" s="36"/>
      <c r="BI98" s="36"/>
      <c r="BJ98" s="31"/>
      <c r="BK98" s="31"/>
      <c r="BL98" s="31"/>
      <c r="BM98" s="31"/>
      <c r="BN98" s="31"/>
      <c r="BO98" s="31"/>
      <c r="BP98" s="7"/>
      <c r="BQ98" s="7"/>
    </row>
    <row r="99" spans="1:69" ht="14.4" x14ac:dyDescent="0.3">
      <c r="A99" s="1" t="s">
        <v>93</v>
      </c>
      <c r="B99" s="8">
        <v>26226</v>
      </c>
      <c r="C99" s="8">
        <v>24756</v>
      </c>
      <c r="D99" s="8">
        <v>26296</v>
      </c>
      <c r="E99" s="8">
        <v>28215</v>
      </c>
      <c r="F99" s="8">
        <v>32825</v>
      </c>
      <c r="G99" s="8">
        <v>24693</v>
      </c>
      <c r="H99" s="8">
        <v>25692</v>
      </c>
      <c r="I99" s="8">
        <v>54349.17</v>
      </c>
      <c r="J99" s="8">
        <v>48534.96</v>
      </c>
      <c r="K99" s="8">
        <v>56290.239999999998</v>
      </c>
      <c r="L99" s="8">
        <v>48749.24</v>
      </c>
      <c r="M99" s="8">
        <v>54887.83</v>
      </c>
      <c r="N99" s="8">
        <v>56382.34</v>
      </c>
      <c r="O99" s="8">
        <v>37071.24</v>
      </c>
      <c r="P99" s="11">
        <v>48106.74</v>
      </c>
      <c r="Q99" s="18">
        <v>39876.47</v>
      </c>
      <c r="R99" s="19">
        <v>55860.56</v>
      </c>
      <c r="S99" s="19">
        <v>25065.99</v>
      </c>
      <c r="T99" s="19">
        <v>41580.879999999997</v>
      </c>
      <c r="U99" s="19">
        <v>45665.95</v>
      </c>
      <c r="V99" s="19">
        <v>37496.42</v>
      </c>
      <c r="W99" s="8">
        <v>55103.58</v>
      </c>
      <c r="X99" s="8">
        <v>58847.98</v>
      </c>
      <c r="Y99" s="8">
        <v>54092.959999999999</v>
      </c>
      <c r="Z99" s="8">
        <v>46642.94</v>
      </c>
      <c r="AA99" s="8">
        <v>37812.83</v>
      </c>
      <c r="AB99" s="8">
        <v>41784.019999999997</v>
      </c>
      <c r="AC99" s="8">
        <v>43114.36</v>
      </c>
      <c r="AD99" s="8">
        <v>55839.87</v>
      </c>
      <c r="AE99" s="8">
        <v>42829.52</v>
      </c>
      <c r="AF99" s="8">
        <v>32034.45</v>
      </c>
      <c r="AG99" s="8">
        <v>80242.11</v>
      </c>
      <c r="AH99" s="8">
        <v>86706</v>
      </c>
      <c r="AI99" s="8">
        <v>75262.12</v>
      </c>
      <c r="AJ99" s="8">
        <v>66265</v>
      </c>
      <c r="AK99" s="8">
        <v>63229</v>
      </c>
      <c r="AL99" s="8">
        <v>71734.720000000001</v>
      </c>
      <c r="AM99" s="8">
        <v>54664</v>
      </c>
      <c r="AN99" s="8">
        <v>87840</v>
      </c>
      <c r="AO99" s="8">
        <v>68950</v>
      </c>
      <c r="AP99" s="8">
        <v>81605</v>
      </c>
      <c r="AQ99" s="8">
        <v>26394</v>
      </c>
      <c r="AR99" s="8">
        <v>78720</v>
      </c>
      <c r="AS99" s="8">
        <v>85833</v>
      </c>
      <c r="AT99" s="8">
        <v>78748.41</v>
      </c>
      <c r="AU99" s="8">
        <v>107561.76</v>
      </c>
      <c r="AV99" s="8">
        <v>88185.99</v>
      </c>
      <c r="AW99" s="8">
        <v>86825.82</v>
      </c>
      <c r="AX99" s="8">
        <v>67432.36</v>
      </c>
      <c r="AY99" s="8">
        <v>78280</v>
      </c>
      <c r="AZ99" s="8">
        <v>93100</v>
      </c>
      <c r="BA99" s="8">
        <v>55989.59</v>
      </c>
      <c r="BB99" s="8">
        <v>95749.66</v>
      </c>
      <c r="BC99" s="8">
        <v>87208.29</v>
      </c>
      <c r="BD99" s="8">
        <v>86591.9</v>
      </c>
      <c r="BE99" s="8">
        <v>86093.95</v>
      </c>
      <c r="BF99" s="36">
        <f>SUM(AX99:BE99)</f>
        <v>650445.74999999988</v>
      </c>
      <c r="BG99" s="36">
        <f>SUM(AL99:AW99)</f>
        <v>917062.7</v>
      </c>
      <c r="BH99" s="36">
        <f>SUM(Z99:AK99)</f>
        <v>671762.22</v>
      </c>
      <c r="BI99" s="36">
        <f>SUM(N99:Y99)</f>
        <v>555151.11</v>
      </c>
      <c r="BJ99" s="31">
        <f>SUM(BA99:BE99)</f>
        <v>411633.38999999996</v>
      </c>
      <c r="BK99" s="31">
        <f>SUM(AO99:AZ99)</f>
        <v>941636.34</v>
      </c>
      <c r="BL99" s="31">
        <f>SUM(AC99:AN99)</f>
        <v>759761.14999999991</v>
      </c>
      <c r="BM99" s="31">
        <f>SUM(Q99:AB99)</f>
        <v>539830.57999999996</v>
      </c>
      <c r="BN99" s="31">
        <f>SUM(E99:P99)</f>
        <v>515796.76</v>
      </c>
      <c r="BO99" s="31">
        <f>SUM(B99:D99)</f>
        <v>77278</v>
      </c>
      <c r="BP99" s="7"/>
      <c r="BQ99" s="7"/>
    </row>
    <row r="100" spans="1:69" s="4" customFormat="1" ht="14.4" x14ac:dyDescent="0.3">
      <c r="A100" s="4" t="s">
        <v>94</v>
      </c>
      <c r="B100" s="12">
        <v>26226</v>
      </c>
      <c r="C100" s="12">
        <v>24756</v>
      </c>
      <c r="D100" s="12">
        <v>26296</v>
      </c>
      <c r="E100" s="12">
        <v>28215</v>
      </c>
      <c r="F100" s="12">
        <v>32825</v>
      </c>
      <c r="G100" s="12">
        <v>24693</v>
      </c>
      <c r="H100" s="12">
        <v>25692</v>
      </c>
      <c r="I100" s="12">
        <v>54349.17</v>
      </c>
      <c r="J100" s="12">
        <v>48534.96</v>
      </c>
      <c r="K100" s="12">
        <v>56290.239999999998</v>
      </c>
      <c r="L100" s="12">
        <v>48749.24</v>
      </c>
      <c r="M100" s="12">
        <v>54887.83</v>
      </c>
      <c r="N100" s="12">
        <v>56382.34</v>
      </c>
      <c r="O100" s="12">
        <v>37071.24</v>
      </c>
      <c r="P100" s="14">
        <v>48406.74</v>
      </c>
      <c r="Q100" s="20">
        <v>39876.47</v>
      </c>
      <c r="R100" s="21">
        <v>55860.56</v>
      </c>
      <c r="S100" s="21">
        <v>25065.99</v>
      </c>
      <c r="T100" s="21">
        <f t="shared" ref="T100:AC100" si="152">T99</f>
        <v>41580.879999999997</v>
      </c>
      <c r="U100" s="21">
        <f t="shared" si="152"/>
        <v>45665.95</v>
      </c>
      <c r="V100" s="21">
        <f t="shared" si="152"/>
        <v>37496.42</v>
      </c>
      <c r="W100" s="21">
        <f t="shared" si="152"/>
        <v>55103.58</v>
      </c>
      <c r="X100" s="21">
        <f t="shared" si="152"/>
        <v>58847.98</v>
      </c>
      <c r="Y100" s="21">
        <f t="shared" si="152"/>
        <v>54092.959999999999</v>
      </c>
      <c r="Z100" s="21">
        <f t="shared" ref="Z100:AA100" si="153">Z99</f>
        <v>46642.94</v>
      </c>
      <c r="AA100" s="21">
        <f t="shared" si="153"/>
        <v>37812.83</v>
      </c>
      <c r="AB100" s="21">
        <f t="shared" si="152"/>
        <v>41784.019999999997</v>
      </c>
      <c r="AC100" s="21">
        <f t="shared" si="152"/>
        <v>43114.36</v>
      </c>
      <c r="AD100" s="21">
        <f t="shared" ref="AD100:AE100" si="154">AD99</f>
        <v>55839.87</v>
      </c>
      <c r="AE100" s="21">
        <f t="shared" si="154"/>
        <v>42829.52</v>
      </c>
      <c r="AF100" s="21">
        <f t="shared" ref="AF100:AG100" si="155">AF99</f>
        <v>32034.45</v>
      </c>
      <c r="AG100" s="21">
        <f t="shared" si="155"/>
        <v>80242.11</v>
      </c>
      <c r="AH100" s="21">
        <f t="shared" ref="AH100:AI100" si="156">AH99</f>
        <v>86706</v>
      </c>
      <c r="AI100" s="21">
        <f t="shared" si="156"/>
        <v>75262.12</v>
      </c>
      <c r="AJ100" s="21">
        <f t="shared" ref="AJ100:AK100" si="157">AJ99</f>
        <v>66265</v>
      </c>
      <c r="AK100" s="21">
        <f t="shared" si="157"/>
        <v>63229</v>
      </c>
      <c r="AL100" s="21">
        <f t="shared" ref="AL100:AM100" si="158">AL99</f>
        <v>71734.720000000001</v>
      </c>
      <c r="AM100" s="21">
        <f t="shared" si="158"/>
        <v>54664</v>
      </c>
      <c r="AN100" s="21">
        <f t="shared" ref="AN100:AQ100" si="159">AN99</f>
        <v>87840</v>
      </c>
      <c r="AO100" s="21">
        <f t="shared" si="159"/>
        <v>68950</v>
      </c>
      <c r="AP100" s="21">
        <f t="shared" si="159"/>
        <v>81605</v>
      </c>
      <c r="AQ100" s="21">
        <f t="shared" si="159"/>
        <v>26394</v>
      </c>
      <c r="AR100" s="21">
        <f t="shared" ref="AR100:BD100" si="160">AR99</f>
        <v>78720</v>
      </c>
      <c r="AS100" s="21">
        <f t="shared" si="160"/>
        <v>85833</v>
      </c>
      <c r="AT100" s="21">
        <f t="shared" si="160"/>
        <v>78748.41</v>
      </c>
      <c r="AU100" s="21">
        <f t="shared" si="160"/>
        <v>107561.76</v>
      </c>
      <c r="AV100" s="21">
        <f t="shared" si="160"/>
        <v>88185.99</v>
      </c>
      <c r="AW100" s="21">
        <f t="shared" si="160"/>
        <v>86825.82</v>
      </c>
      <c r="AX100" s="21">
        <f t="shared" si="160"/>
        <v>67432.36</v>
      </c>
      <c r="AY100" s="21">
        <f t="shared" si="160"/>
        <v>78280</v>
      </c>
      <c r="AZ100" s="21">
        <f t="shared" si="160"/>
        <v>93100</v>
      </c>
      <c r="BA100" s="21">
        <f t="shared" si="160"/>
        <v>55989.59</v>
      </c>
      <c r="BB100" s="21">
        <f t="shared" si="160"/>
        <v>95749.66</v>
      </c>
      <c r="BC100" s="21">
        <f t="shared" si="160"/>
        <v>87208.29</v>
      </c>
      <c r="BD100" s="21">
        <f t="shared" si="160"/>
        <v>86591.9</v>
      </c>
      <c r="BE100" s="21">
        <f t="shared" ref="BE100" si="161">BE99</f>
        <v>86093.95</v>
      </c>
      <c r="BF100" s="39">
        <f>SUM(AX100:BE100)</f>
        <v>650445.74999999988</v>
      </c>
      <c r="BG100" s="39">
        <f>SUM(AL100:AW100)</f>
        <v>917062.7</v>
      </c>
      <c r="BH100" s="44">
        <f>SUM(Z100:AK100)</f>
        <v>671762.22</v>
      </c>
      <c r="BI100" s="44">
        <f>SUM(N100:Y100)</f>
        <v>555451.11</v>
      </c>
      <c r="BJ100" s="32">
        <f>SUM(BA100:BE100)</f>
        <v>411633.38999999996</v>
      </c>
      <c r="BK100" s="32">
        <f>SUM(AO100:AZ100)</f>
        <v>941636.34</v>
      </c>
      <c r="BL100" s="32">
        <f>SUM(AC100:AN100)</f>
        <v>759761.14999999991</v>
      </c>
      <c r="BM100" s="32">
        <f>SUM(Q100:AB100)</f>
        <v>539830.57999999996</v>
      </c>
      <c r="BN100" s="32">
        <f>SUM(E100:P100)</f>
        <v>516096.76</v>
      </c>
      <c r="BO100" s="32">
        <f>SUM(B100:D100)</f>
        <v>77278</v>
      </c>
      <c r="BP100" s="7" t="s">
        <v>92</v>
      </c>
      <c r="BQ100" s="104"/>
    </row>
    <row r="101" spans="1:69" ht="14.4" x14ac:dyDescent="0.3">
      <c r="A101" s="1" t="s">
        <v>95</v>
      </c>
      <c r="B101" s="8">
        <v>109390.89</v>
      </c>
      <c r="C101" s="8">
        <v>110115.45</v>
      </c>
      <c r="D101" s="8">
        <v>112944.38</v>
      </c>
      <c r="E101" s="8">
        <v>113442.07</v>
      </c>
      <c r="F101" s="8">
        <v>120238.86</v>
      </c>
      <c r="G101" s="8">
        <v>162808</v>
      </c>
      <c r="H101" s="8">
        <v>138912.57999999999</v>
      </c>
      <c r="I101" s="8">
        <v>158678.48000000001</v>
      </c>
      <c r="J101" s="8">
        <v>149551.91</v>
      </c>
      <c r="K101" s="8">
        <v>167294.76</v>
      </c>
      <c r="L101" s="8">
        <v>188425.98</v>
      </c>
      <c r="M101" s="8">
        <v>190255.54</v>
      </c>
      <c r="N101" s="8">
        <v>195144.6</v>
      </c>
      <c r="O101" s="8">
        <v>137713.18</v>
      </c>
      <c r="P101" s="8">
        <v>217013.55</v>
      </c>
      <c r="Q101" s="11">
        <f t="shared" ref="Q101:BB101" si="162">SUM(Q45,Q51,Q60,Q63,Q74,Q81,Q86,Q97,Q100)</f>
        <v>154740.20000000001</v>
      </c>
      <c r="R101" s="11">
        <f t="shared" si="162"/>
        <v>186275.5</v>
      </c>
      <c r="S101" s="11">
        <f t="shared" si="162"/>
        <v>236978.55000000005</v>
      </c>
      <c r="T101" s="11">
        <f t="shared" si="162"/>
        <v>178543.95</v>
      </c>
      <c r="U101" s="11">
        <f t="shared" si="162"/>
        <v>177950.34000000003</v>
      </c>
      <c r="V101" s="26">
        <f t="shared" si="162"/>
        <v>171591.93</v>
      </c>
      <c r="W101" s="26">
        <f t="shared" si="162"/>
        <v>179975.49</v>
      </c>
      <c r="X101" s="26">
        <f t="shared" si="162"/>
        <v>191750.18</v>
      </c>
      <c r="Y101" s="26">
        <f t="shared" si="162"/>
        <v>224417.22999999998</v>
      </c>
      <c r="Z101" s="26">
        <f t="shared" si="162"/>
        <v>192139.13999999998</v>
      </c>
      <c r="AA101" s="26">
        <f t="shared" si="162"/>
        <v>232550.46000000002</v>
      </c>
      <c r="AB101" s="26">
        <f t="shared" si="162"/>
        <v>254348.22999999995</v>
      </c>
      <c r="AC101" s="26">
        <f t="shared" si="162"/>
        <v>231840.95</v>
      </c>
      <c r="AD101" s="26">
        <f t="shared" si="162"/>
        <v>227601.89999999997</v>
      </c>
      <c r="AE101" s="26">
        <f t="shared" si="162"/>
        <v>237340.54</v>
      </c>
      <c r="AF101" s="26">
        <f t="shared" si="162"/>
        <v>268078.58</v>
      </c>
      <c r="AG101" s="26">
        <f t="shared" si="162"/>
        <v>380075.42999999993</v>
      </c>
      <c r="AH101" s="11">
        <f t="shared" si="162"/>
        <v>304268.83999999997</v>
      </c>
      <c r="AI101" s="11">
        <f t="shared" si="162"/>
        <v>302394.71999999997</v>
      </c>
      <c r="AJ101" s="26">
        <f t="shared" si="162"/>
        <v>301460.01</v>
      </c>
      <c r="AK101" s="26">
        <f t="shared" si="162"/>
        <v>293913.18000000005</v>
      </c>
      <c r="AL101" s="45">
        <f t="shared" si="162"/>
        <v>323700.42000000004</v>
      </c>
      <c r="AM101" s="45">
        <f t="shared" si="162"/>
        <v>269483.16000000003</v>
      </c>
      <c r="AN101" s="45">
        <f t="shared" si="162"/>
        <v>329575.43000000005</v>
      </c>
      <c r="AO101" s="45">
        <f t="shared" si="162"/>
        <v>291202.58000000007</v>
      </c>
      <c r="AP101" s="45">
        <f t="shared" si="162"/>
        <v>310756.84999999998</v>
      </c>
      <c r="AQ101" s="45">
        <f t="shared" si="162"/>
        <v>469714.79999999993</v>
      </c>
      <c r="AR101" s="45">
        <f t="shared" si="162"/>
        <v>293028.38</v>
      </c>
      <c r="AS101" s="45">
        <f t="shared" si="162"/>
        <v>319168.23</v>
      </c>
      <c r="AT101" s="45">
        <f t="shared" si="162"/>
        <v>364283.04000000004</v>
      </c>
      <c r="AU101" s="45">
        <f t="shared" si="162"/>
        <v>349943.56</v>
      </c>
      <c r="AV101" s="45">
        <f t="shared" si="162"/>
        <v>353448.2</v>
      </c>
      <c r="AW101" s="45">
        <f t="shared" si="162"/>
        <v>391506.09</v>
      </c>
      <c r="AX101" s="45">
        <f t="shared" si="162"/>
        <v>343586.69000000006</v>
      </c>
      <c r="AY101" s="45">
        <f t="shared" si="162"/>
        <v>328979.92000000004</v>
      </c>
      <c r="AZ101" s="45">
        <f t="shared" si="162"/>
        <v>370250.05000000005</v>
      </c>
      <c r="BA101" s="45">
        <f t="shared" si="162"/>
        <v>338052.75</v>
      </c>
      <c r="BB101" s="45">
        <f t="shared" si="162"/>
        <v>368648.20000000007</v>
      </c>
      <c r="BC101" s="45">
        <f t="shared" ref="BC101:BD101" si="163">SUM(BC45,BC51,BC60,BC63,BC74,BC81,BC86,BC97,BC100)</f>
        <v>403568.55000000005</v>
      </c>
      <c r="BD101" s="45">
        <f t="shared" si="163"/>
        <v>414295.37</v>
      </c>
      <c r="BE101" s="45">
        <f t="shared" ref="BE101" si="164">SUM(BE45,BE51,BE60,BE63,BE74,BE81,BE86,BE97,BE100)</f>
        <v>386060.85000000003</v>
      </c>
      <c r="BF101" s="39">
        <f>SUM(AX101:BE101)</f>
        <v>2953442.3800000004</v>
      </c>
      <c r="BG101" s="39">
        <f>SUM(AL101:AW101)</f>
        <v>4065810.74</v>
      </c>
      <c r="BH101" s="46">
        <f>SUM(Z101:AK101)</f>
        <v>3226011.98</v>
      </c>
      <c r="BI101" s="46">
        <f>SUM(N101:Y101)</f>
        <v>2252094.7000000002</v>
      </c>
      <c r="BJ101" s="32">
        <f>SUM(BA101:BE101)</f>
        <v>1910625.7200000002</v>
      </c>
      <c r="BK101" s="32">
        <f>SUM(AO101:AZ101)</f>
        <v>4185868.3899999997</v>
      </c>
      <c r="BL101" s="32">
        <f>SUM(AC101:AN101)</f>
        <v>3469733.16</v>
      </c>
      <c r="BM101" s="32">
        <f>SUM(Q101:AB101)</f>
        <v>2381261.1999999997</v>
      </c>
      <c r="BN101" s="32">
        <f>SUM(E101:P101)</f>
        <v>1939479.5100000002</v>
      </c>
      <c r="BO101" s="32">
        <f>SUM(B101:D101)</f>
        <v>332450.71999999997</v>
      </c>
      <c r="BP101" s="7"/>
      <c r="BQ101" s="7"/>
    </row>
    <row r="102" spans="1:69" ht="14.4" x14ac:dyDescent="0.3">
      <c r="A102" s="4" t="s">
        <v>96</v>
      </c>
      <c r="B102" s="23">
        <f t="shared" ref="B102:AG102" si="165">-SUM(B23,B101)</f>
        <v>146959.53999999998</v>
      </c>
      <c r="C102" s="23">
        <f t="shared" si="165"/>
        <v>139551.78999999998</v>
      </c>
      <c r="D102" s="23">
        <f t="shared" si="165"/>
        <v>168410.90999999997</v>
      </c>
      <c r="E102" s="23">
        <f t="shared" si="165"/>
        <v>172606.93</v>
      </c>
      <c r="F102" s="23">
        <f t="shared" si="165"/>
        <v>187948.24</v>
      </c>
      <c r="G102" s="23">
        <f t="shared" si="165"/>
        <v>141701.29999999999</v>
      </c>
      <c r="H102" s="23">
        <f t="shared" si="165"/>
        <v>175196.08</v>
      </c>
      <c r="I102" s="23">
        <f t="shared" si="165"/>
        <v>159364.07999999999</v>
      </c>
      <c r="J102" s="23">
        <f t="shared" si="165"/>
        <v>161905.71</v>
      </c>
      <c r="K102" s="23">
        <f t="shared" si="165"/>
        <v>162121.16999999998</v>
      </c>
      <c r="L102" s="23">
        <f t="shared" si="165"/>
        <v>129106.23999999996</v>
      </c>
      <c r="M102" s="23">
        <f t="shared" si="165"/>
        <v>133297.13999999998</v>
      </c>
      <c r="N102" s="23">
        <f t="shared" si="165"/>
        <v>135450.99999999997</v>
      </c>
      <c r="O102" s="23">
        <f t="shared" si="165"/>
        <v>159104.84000000003</v>
      </c>
      <c r="P102" s="23">
        <f t="shared" si="165"/>
        <v>108062.59000000003</v>
      </c>
      <c r="Q102" s="23">
        <f t="shared" si="165"/>
        <v>195733.07</v>
      </c>
      <c r="R102" s="23">
        <f t="shared" si="165"/>
        <v>205023.55</v>
      </c>
      <c r="S102" s="23">
        <f t="shared" si="165"/>
        <v>116268.77999999997</v>
      </c>
      <c r="T102" s="23">
        <f t="shared" si="165"/>
        <v>185543.72999999998</v>
      </c>
      <c r="U102" s="23">
        <f t="shared" si="165"/>
        <v>198458.75</v>
      </c>
      <c r="V102" s="23">
        <f t="shared" si="165"/>
        <v>203527.8600000001</v>
      </c>
      <c r="W102" s="23">
        <f t="shared" si="165"/>
        <v>214375.93</v>
      </c>
      <c r="X102" s="23">
        <f t="shared" si="165"/>
        <v>208120.65000000008</v>
      </c>
      <c r="Y102" s="23">
        <f t="shared" si="165"/>
        <v>197638.75999999995</v>
      </c>
      <c r="Z102" s="23">
        <f t="shared" si="165"/>
        <v>227394.12000000002</v>
      </c>
      <c r="AA102" s="23">
        <f t="shared" si="165"/>
        <v>164148.54999999999</v>
      </c>
      <c r="AB102" s="23">
        <f t="shared" si="165"/>
        <v>176420.69000000015</v>
      </c>
      <c r="AC102" s="23">
        <f t="shared" si="165"/>
        <v>201336.77999999997</v>
      </c>
      <c r="AD102" s="23">
        <f t="shared" si="165"/>
        <v>243744.40000000008</v>
      </c>
      <c r="AE102" s="23">
        <f t="shared" si="165"/>
        <v>196023.34</v>
      </c>
      <c r="AF102" s="23">
        <f t="shared" si="165"/>
        <v>190689.72000000003</v>
      </c>
      <c r="AG102" s="23">
        <f t="shared" si="165"/>
        <v>88272.410000000091</v>
      </c>
      <c r="AH102" s="23">
        <f t="shared" ref="AH102:BB102" si="166">-SUM(AH23,AH101)</f>
        <v>172736.58999999997</v>
      </c>
      <c r="AI102" s="23">
        <f t="shared" si="166"/>
        <v>142501.77999999997</v>
      </c>
      <c r="AJ102" s="23">
        <f t="shared" si="166"/>
        <v>208486.45999999996</v>
      </c>
      <c r="AK102" s="12">
        <f t="shared" si="166"/>
        <v>229607.49999999988</v>
      </c>
      <c r="AL102" s="12">
        <f t="shared" si="166"/>
        <v>205282.02999999991</v>
      </c>
      <c r="AM102" s="12">
        <f t="shared" si="166"/>
        <v>208136.07999999996</v>
      </c>
      <c r="AN102" s="12">
        <f t="shared" si="166"/>
        <v>187304.56999999995</v>
      </c>
      <c r="AO102" s="12">
        <f t="shared" si="166"/>
        <v>242522.81999999995</v>
      </c>
      <c r="AP102" s="12">
        <f t="shared" si="166"/>
        <v>233979.31000000006</v>
      </c>
      <c r="AQ102" s="12">
        <f t="shared" si="166"/>
        <v>79607.750000000116</v>
      </c>
      <c r="AR102" s="12">
        <f t="shared" si="166"/>
        <v>223835.51</v>
      </c>
      <c r="AS102" s="12">
        <f t="shared" si="166"/>
        <v>242028.49</v>
      </c>
      <c r="AT102" s="12">
        <f t="shared" si="166"/>
        <v>243680.57999999996</v>
      </c>
      <c r="AU102" s="12">
        <f t="shared" si="166"/>
        <v>301519.58</v>
      </c>
      <c r="AV102" s="12">
        <f t="shared" si="166"/>
        <v>261759.15999999997</v>
      </c>
      <c r="AW102" s="12">
        <f t="shared" si="166"/>
        <v>244401.33000000002</v>
      </c>
      <c r="AX102" s="12">
        <f t="shared" si="166"/>
        <v>194385.30999999994</v>
      </c>
      <c r="AY102" s="12">
        <f t="shared" si="166"/>
        <v>223406.57999999984</v>
      </c>
      <c r="AZ102" s="12">
        <f t="shared" si="166"/>
        <v>268221.34999999986</v>
      </c>
      <c r="BA102" s="12">
        <f t="shared" si="166"/>
        <v>265213.38</v>
      </c>
      <c r="BB102" s="12">
        <f t="shared" si="166"/>
        <v>266139.52999999991</v>
      </c>
      <c r="BC102" s="12">
        <f t="shared" ref="BC102:BE102" si="167">-SUM(BC23,BC101)</f>
        <v>276105.83999999997</v>
      </c>
      <c r="BD102" s="12">
        <f t="shared" si="167"/>
        <v>214963.07999999996</v>
      </c>
      <c r="BE102" s="12">
        <f t="shared" si="167"/>
        <v>261361.73999999993</v>
      </c>
      <c r="BF102" s="39">
        <f>SUM(AX102:BE102)</f>
        <v>1969796.8099999994</v>
      </c>
      <c r="BG102" s="39">
        <f>SUM(AL102:AW102)</f>
        <v>2674057.2100000004</v>
      </c>
      <c r="BH102" s="39">
        <f>SUM(Z102:AK102)</f>
        <v>2241362.3400000003</v>
      </c>
      <c r="BI102" s="39">
        <f>SUM(N102:Y102)</f>
        <v>2127309.5100000002</v>
      </c>
      <c r="BJ102" s="32">
        <f>SUM(BA102:BE102)</f>
        <v>1283783.5699999998</v>
      </c>
      <c r="BK102" s="32">
        <f>SUM(AO102:AZ102)</f>
        <v>2759347.7699999996</v>
      </c>
      <c r="BL102" s="32">
        <f>SUM(AC102:AN102)</f>
        <v>2274121.6599999997</v>
      </c>
      <c r="BM102" s="32">
        <f>SUM(Q102:AB102)</f>
        <v>2292654.44</v>
      </c>
      <c r="BN102" s="32">
        <f>SUM(E102:P102)</f>
        <v>1825865.3199999998</v>
      </c>
      <c r="BO102" s="32">
        <f>SUM(B102:D102)</f>
        <v>454922.23999999993</v>
      </c>
      <c r="BP102" s="7"/>
      <c r="BQ102" s="7"/>
    </row>
    <row r="103" spans="1:69" s="4" customFormat="1" ht="14.4" x14ac:dyDescent="0.3">
      <c r="A103" s="1" t="s">
        <v>97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6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"/>
      <c r="BP103" s="7"/>
      <c r="BQ103" s="17"/>
    </row>
    <row r="104" spans="1:69" x14ac:dyDescent="0.25">
      <c r="A104" s="3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BJ104" s="11"/>
      <c r="BK104" s="11"/>
      <c r="BL104" s="11"/>
      <c r="BM104" s="11"/>
    </row>
    <row r="105" spans="1:69" s="4" customFormat="1" ht="15" customHeight="1" thickBot="1" x14ac:dyDescent="0.35">
      <c r="A105" s="4" t="s">
        <v>110</v>
      </c>
      <c r="Q105" s="33">
        <f t="shared" ref="Q105:AB105" si="168">Q102+Q100+Q97</f>
        <v>229832.52000000002</v>
      </c>
      <c r="R105" s="33">
        <f t="shared" si="168"/>
        <v>254641.93</v>
      </c>
      <c r="S105" s="33">
        <f t="shared" si="168"/>
        <v>134353.83999999997</v>
      </c>
      <c r="T105" s="33">
        <f t="shared" si="168"/>
        <v>220083.46</v>
      </c>
      <c r="U105" s="33">
        <f t="shared" si="168"/>
        <v>236467.31</v>
      </c>
      <c r="V105" s="33">
        <f t="shared" si="168"/>
        <v>230531.09000000008</v>
      </c>
      <c r="W105" s="33">
        <f t="shared" si="168"/>
        <v>261783.17</v>
      </c>
      <c r="X105" s="33">
        <f t="shared" si="168"/>
        <v>260949.92000000007</v>
      </c>
      <c r="Y105" s="33">
        <f t="shared" si="168"/>
        <v>243591.84999999995</v>
      </c>
      <c r="Z105" s="33">
        <f t="shared" si="168"/>
        <v>262147.21000000008</v>
      </c>
      <c r="AA105" s="33">
        <f t="shared" si="168"/>
        <v>191419.07</v>
      </c>
      <c r="AB105" s="33">
        <f t="shared" si="168"/>
        <v>206843.85000000015</v>
      </c>
      <c r="AC105" s="33">
        <f>AC102+AC100+AC97</f>
        <v>233580.67999999996</v>
      </c>
      <c r="AD105" s="33">
        <f t="shared" ref="AD105:BO105" si="169">AD102+AD100+AD97</f>
        <v>285702.01000000007</v>
      </c>
      <c r="AE105" s="33">
        <f t="shared" si="169"/>
        <v>224210.43999999997</v>
      </c>
      <c r="AF105" s="33">
        <f t="shared" si="169"/>
        <v>211359.84000000003</v>
      </c>
      <c r="AG105" s="33">
        <f t="shared" si="169"/>
        <v>157386.57000000007</v>
      </c>
      <c r="AH105" s="33">
        <f t="shared" si="169"/>
        <v>245631.18999999997</v>
      </c>
      <c r="AI105" s="33">
        <f t="shared" si="169"/>
        <v>193618.57999999996</v>
      </c>
      <c r="AJ105" s="33">
        <f t="shared" ref="AJ105:AK105" si="170">AJ102+AJ100+AJ97</f>
        <v>249787.93999999994</v>
      </c>
      <c r="AK105" s="33">
        <f t="shared" si="170"/>
        <v>268170.59999999986</v>
      </c>
      <c r="AL105" s="33">
        <f t="shared" ref="AL105:AM105" si="171">AL102+AL100+AL97</f>
        <v>250503.15999999989</v>
      </c>
      <c r="AM105" s="33">
        <f t="shared" si="171"/>
        <v>245329.75999999995</v>
      </c>
      <c r="AN105" s="33">
        <f>AN102+AN100+AN97</f>
        <v>261911.04999999996</v>
      </c>
      <c r="AO105" s="33">
        <f t="shared" ref="AO105:AQ105" si="172">AO102+AO100+AO97</f>
        <v>310670.48999999993</v>
      </c>
      <c r="AP105" s="33">
        <f t="shared" si="172"/>
        <v>295899.46000000008</v>
      </c>
      <c r="AQ105" s="33">
        <f t="shared" si="172"/>
        <v>93874.730000000112</v>
      </c>
      <c r="AR105" s="33">
        <f t="shared" ref="AR105:BH105" si="173">AR102+AR100+AR97</f>
        <v>275093.89</v>
      </c>
      <c r="AS105" s="33">
        <f t="shared" si="173"/>
        <v>312295.14</v>
      </c>
      <c r="AT105" s="33">
        <f t="shared" si="173"/>
        <v>285609.61</v>
      </c>
      <c r="AU105" s="33">
        <f t="shared" si="173"/>
        <v>398889.99000000005</v>
      </c>
      <c r="AV105" s="33">
        <f t="shared" si="173"/>
        <v>328540.42</v>
      </c>
      <c r="AW105" s="33">
        <f t="shared" si="173"/>
        <v>313099.5</v>
      </c>
      <c r="AX105" s="33">
        <f t="shared" si="173"/>
        <v>242695.87999999992</v>
      </c>
      <c r="AY105" s="33">
        <f t="shared" si="173"/>
        <v>274652.58999999985</v>
      </c>
      <c r="AZ105" s="33">
        <f t="shared" si="173"/>
        <v>326063.31999999983</v>
      </c>
      <c r="BA105" s="33">
        <f t="shared" si="173"/>
        <v>303550.20999999996</v>
      </c>
      <c r="BB105" s="33">
        <f>BB102+BB100+BB97</f>
        <v>334078.92999999993</v>
      </c>
      <c r="BC105" s="33">
        <f>BC102+BC100+BC97</f>
        <v>326761.45999999996</v>
      </c>
      <c r="BD105" s="33">
        <f>BD102+BD100+BD97</f>
        <v>276063.20999999996</v>
      </c>
      <c r="BE105" s="33">
        <f>BE102+BE100+BE97</f>
        <v>321936.93999999994</v>
      </c>
      <c r="BF105" s="33">
        <f t="shared" si="173"/>
        <v>2405802.5399999991</v>
      </c>
      <c r="BG105" s="33">
        <f t="shared" si="173"/>
        <v>3371717.2</v>
      </c>
      <c r="BH105" s="33">
        <f t="shared" si="173"/>
        <v>2729857.9800000004</v>
      </c>
      <c r="BI105" s="33">
        <f t="shared" si="169"/>
        <v>2603192.63</v>
      </c>
      <c r="BJ105" s="33">
        <f t="shared" ref="BJ105:BK105" si="174">BJ102+BJ100+BJ97</f>
        <v>1562390.7499999998</v>
      </c>
      <c r="BK105" s="33">
        <f t="shared" si="174"/>
        <v>3457385.0199999996</v>
      </c>
      <c r="BL105" s="33">
        <f t="shared" si="169"/>
        <v>2827191.8199999994</v>
      </c>
      <c r="BM105" s="33">
        <f t="shared" si="169"/>
        <v>2732645.22</v>
      </c>
      <c r="BN105" s="33">
        <f t="shared" si="169"/>
        <v>2315664.4900000002</v>
      </c>
      <c r="BO105" s="33">
        <f t="shared" si="169"/>
        <v>532634.67999999993</v>
      </c>
    </row>
    <row r="106" spans="1:69" ht="13.8" thickTop="1" x14ac:dyDescent="0.3"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BN106" s="11"/>
    </row>
    <row r="107" spans="1:69" x14ac:dyDescent="0.3">
      <c r="A107" s="78" t="s">
        <v>155</v>
      </c>
      <c r="P107" s="11"/>
      <c r="Q107" s="79">
        <f>-Q19-Q105</f>
        <v>125688.37</v>
      </c>
      <c r="R107" s="79">
        <f t="shared" ref="R107:BM107" si="175">-R19-R105</f>
        <v>142311.41999999998</v>
      </c>
      <c r="S107" s="79">
        <f t="shared" si="175"/>
        <v>223832.19000000006</v>
      </c>
      <c r="T107" s="79">
        <f t="shared" si="175"/>
        <v>151023.31000000003</v>
      </c>
      <c r="U107" s="79">
        <f t="shared" si="175"/>
        <v>149618.75</v>
      </c>
      <c r="V107" s="79">
        <f t="shared" si="175"/>
        <v>151908.60999999999</v>
      </c>
      <c r="W107" s="79">
        <f t="shared" si="175"/>
        <v>141844.88999999998</v>
      </c>
      <c r="X107" s="79">
        <f t="shared" si="175"/>
        <v>145024.51999999999</v>
      </c>
      <c r="Y107" s="79">
        <f t="shared" si="175"/>
        <v>183739.38999999998</v>
      </c>
      <c r="Z107" s="79">
        <f t="shared" si="175"/>
        <v>163003.91999999993</v>
      </c>
      <c r="AA107" s="79">
        <f t="shared" si="175"/>
        <v>212768.09000000003</v>
      </c>
      <c r="AB107" s="79">
        <f t="shared" si="175"/>
        <v>231067.91999999993</v>
      </c>
      <c r="AC107" s="79">
        <f t="shared" si="175"/>
        <v>206752.95000000004</v>
      </c>
      <c r="AD107" s="79">
        <f t="shared" si="175"/>
        <v>192299.39999999997</v>
      </c>
      <c r="AE107" s="79">
        <f t="shared" si="175"/>
        <v>245736.78000000006</v>
      </c>
      <c r="AF107" s="79">
        <f t="shared" si="175"/>
        <v>273188.56</v>
      </c>
      <c r="AG107" s="79">
        <f t="shared" si="175"/>
        <v>316784.01999999996</v>
      </c>
      <c r="AH107" s="79">
        <f t="shared" si="175"/>
        <v>237510.68999999997</v>
      </c>
      <c r="AI107" s="79">
        <f t="shared" si="175"/>
        <v>306292.05</v>
      </c>
      <c r="AJ107" s="79">
        <f t="shared" si="175"/>
        <v>262019.23000000004</v>
      </c>
      <c r="AK107" s="79">
        <f t="shared" si="175"/>
        <v>257279.09000000008</v>
      </c>
      <c r="AL107" s="79">
        <f t="shared" si="175"/>
        <v>280414.17000000004</v>
      </c>
      <c r="AM107" s="79">
        <f t="shared" si="175"/>
        <v>234318.98000000004</v>
      </c>
      <c r="AN107" s="79">
        <f t="shared" si="175"/>
        <v>256770.70000000004</v>
      </c>
      <c r="AO107" s="79">
        <f>-AO19-AO105</f>
        <v>223594.10000000003</v>
      </c>
      <c r="AP107" s="79">
        <f t="shared" si="175"/>
        <v>249323.07999999996</v>
      </c>
      <c r="AQ107" s="79">
        <f t="shared" si="175"/>
        <v>456253.25999999989</v>
      </c>
      <c r="AR107" s="79">
        <f t="shared" si="175"/>
        <v>244385.38</v>
      </c>
      <c r="AS107" s="79">
        <f t="shared" si="175"/>
        <v>251646.21999999997</v>
      </c>
      <c r="AT107" s="79">
        <f t="shared" si="175"/>
        <v>325164.75</v>
      </c>
      <c r="AU107" s="79">
        <f t="shared" si="175"/>
        <v>257401.86999999994</v>
      </c>
      <c r="AV107" s="79">
        <f t="shared" si="175"/>
        <v>293221.02999999997</v>
      </c>
      <c r="AW107" s="79">
        <f t="shared" si="175"/>
        <v>329580.49</v>
      </c>
      <c r="AX107" s="79">
        <f t="shared" si="175"/>
        <v>327348.72000000009</v>
      </c>
      <c r="AY107" s="79">
        <f t="shared" si="175"/>
        <v>294233.57000000007</v>
      </c>
      <c r="AZ107" s="79">
        <f t="shared" si="175"/>
        <v>327388.08000000007</v>
      </c>
      <c r="BA107" s="79">
        <f t="shared" si="175"/>
        <v>314291.88</v>
      </c>
      <c r="BB107" s="79">
        <f t="shared" si="175"/>
        <v>315393.97000000009</v>
      </c>
      <c r="BC107" s="79">
        <f t="shared" si="175"/>
        <v>352551.4</v>
      </c>
      <c r="BD107" s="79">
        <f t="shared" si="175"/>
        <v>353408.69999999995</v>
      </c>
      <c r="BE107" s="79">
        <f t="shared" si="175"/>
        <v>318856.29000000004</v>
      </c>
      <c r="BF107" s="79"/>
      <c r="BG107" s="79"/>
      <c r="BH107" s="79"/>
      <c r="BI107" s="79"/>
      <c r="BJ107" s="79"/>
      <c r="BK107" s="79"/>
      <c r="BL107" s="79"/>
      <c r="BM107" s="79">
        <f t="shared" si="175"/>
        <v>2021831.3800000004</v>
      </c>
      <c r="BP107" s="4"/>
      <c r="BQ107" s="4"/>
    </row>
    <row r="108" spans="1:69" x14ac:dyDescent="0.3">
      <c r="A108" s="48" t="s">
        <v>162</v>
      </c>
      <c r="Q108" s="80">
        <f>Q107/SUM($Q$107:$AB$107)</f>
        <v>6.2165604532263219E-2</v>
      </c>
      <c r="R108" s="80">
        <f t="shared" ref="R108:AB108" si="176">R107/SUM($Q$107:$AB$107)</f>
        <v>7.0387383145670626E-2</v>
      </c>
      <c r="S108" s="80">
        <f t="shared" si="176"/>
        <v>0.11070764467015053</v>
      </c>
      <c r="T108" s="80">
        <f t="shared" si="176"/>
        <v>7.469629341691196E-2</v>
      </c>
      <c r="U108" s="80">
        <f t="shared" si="176"/>
        <v>7.4001596512959456E-2</v>
      </c>
      <c r="V108" s="80">
        <f t="shared" si="176"/>
        <v>7.5134163759986744E-2</v>
      </c>
      <c r="W108" s="80">
        <f t="shared" si="176"/>
        <v>7.0156636900155334E-2</v>
      </c>
      <c r="X108" s="80">
        <f t="shared" si="176"/>
        <v>7.1729285357120143E-2</v>
      </c>
      <c r="Y108" s="80">
        <f t="shared" si="176"/>
        <v>9.0877702175143807E-2</v>
      </c>
      <c r="Z108" s="80">
        <f t="shared" si="176"/>
        <v>8.0621916156034701E-2</v>
      </c>
      <c r="AA108" s="80">
        <f t="shared" si="176"/>
        <v>0.10523532877405437</v>
      </c>
      <c r="AB108" s="80">
        <f t="shared" si="176"/>
        <v>0.11428644459954912</v>
      </c>
      <c r="AC108" s="80">
        <f>AC107/SUM($AC$107:$AN$107)</f>
        <v>6.7360135036589414E-2</v>
      </c>
      <c r="AD108" s="80">
        <f t="shared" ref="AD108:AN108" si="177">AD107/SUM($AC$107:$AN$107)</f>
        <v>6.2651166773945027E-2</v>
      </c>
      <c r="AE108" s="80">
        <f t="shared" si="177"/>
        <v>8.0061071362012806E-2</v>
      </c>
      <c r="AF108" s="80">
        <f t="shared" si="177"/>
        <v>8.9004864462883873E-2</v>
      </c>
      <c r="AG108" s="80">
        <f t="shared" si="177"/>
        <v>0.10320827037599045</v>
      </c>
      <c r="AH108" s="80">
        <f t="shared" si="177"/>
        <v>7.7381010288044366E-2</v>
      </c>
      <c r="AI108" s="80">
        <f t="shared" si="177"/>
        <v>9.978998533580194E-2</v>
      </c>
      <c r="AJ108" s="80">
        <f t="shared" si="177"/>
        <v>8.5365895456307544E-2</v>
      </c>
      <c r="AK108" s="80">
        <f t="shared" si="177"/>
        <v>8.3821557295752455E-2</v>
      </c>
      <c r="AL108" s="80">
        <f t="shared" si="177"/>
        <v>9.1358969037071247E-2</v>
      </c>
      <c r="AM108" s="80">
        <f t="shared" si="177"/>
        <v>7.6341150800682142E-2</v>
      </c>
      <c r="AN108" s="80">
        <f t="shared" si="177"/>
        <v>8.3655923774918761E-2</v>
      </c>
      <c r="AO108" s="80">
        <f>AO107/SUM($AO$107:$AZ$107)</f>
        <v>6.2464469078301138E-2</v>
      </c>
      <c r="AP108" s="80">
        <f t="shared" ref="AP108:AZ108" si="178">AP107/SUM($AO$107:$AZ$107)</f>
        <v>6.9652257466394668E-2</v>
      </c>
      <c r="AQ108" s="80">
        <f t="shared" si="178"/>
        <v>0.12746140283283003</v>
      </c>
      <c r="AR108" s="80">
        <f t="shared" si="178"/>
        <v>6.8272834623985479E-2</v>
      </c>
      <c r="AS108" s="80">
        <f t="shared" si="178"/>
        <v>7.030126254611084E-2</v>
      </c>
      <c r="AT108" s="80">
        <f t="shared" si="178"/>
        <v>9.0839800655422104E-2</v>
      </c>
      <c r="AU108" s="80">
        <f t="shared" si="178"/>
        <v>7.190919236827753E-2</v>
      </c>
      <c r="AV108" s="80">
        <f t="shared" si="178"/>
        <v>8.1915828555147951E-2</v>
      </c>
      <c r="AW108" s="80">
        <f t="shared" si="178"/>
        <v>9.2073405901212657E-2</v>
      </c>
      <c r="AX108" s="80">
        <f t="shared" si="178"/>
        <v>9.1449926443772256E-2</v>
      </c>
      <c r="AY108" s="80">
        <f t="shared" si="178"/>
        <v>8.219869726018332E-2</v>
      </c>
      <c r="AZ108" s="80">
        <f t="shared" si="178"/>
        <v>9.1460922268362096E-2</v>
      </c>
      <c r="BA108" s="80"/>
      <c r="BB108" s="80"/>
      <c r="BC108" s="80"/>
      <c r="BD108" s="80"/>
      <c r="BE108" s="80"/>
      <c r="BJ108" s="11"/>
      <c r="BK108" s="11"/>
      <c r="BL108" s="11"/>
    </row>
    <row r="109" spans="1:69" x14ac:dyDescent="0.3"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</row>
    <row r="110" spans="1:69" x14ac:dyDescent="0.3">
      <c r="U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</row>
    <row r="113" spans="28:61" x14ac:dyDescent="0.3"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</row>
  </sheetData>
  <autoFilter ref="A7:BQ113" xr:uid="{8ABAA5A2-4088-4722-847E-425BBD13FFCF}"/>
  <mergeCells count="3">
    <mergeCell ref="A1:F1"/>
    <mergeCell ref="A2:F2"/>
    <mergeCell ref="A3:F3"/>
  </mergeCells>
  <phoneticPr fontId="5" type="noConversion"/>
  <pageMargins left="0.75" right="0.75" top="1" bottom="1" header="0.5" footer="0.5"/>
  <pageSetup orientation="portrait" r:id="rId1"/>
  <ignoredErrors>
    <ignoredError sqref="BI30 BI99 AC97 BH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6EF0-782B-4A77-9799-8660BE82542F}">
  <dimension ref="A3:X30"/>
  <sheetViews>
    <sheetView tabSelected="1" workbookViewId="0">
      <selection activeCell="E19" sqref="E19"/>
    </sheetView>
  </sheetViews>
  <sheetFormatPr defaultRowHeight="14.4" x14ac:dyDescent="0.3"/>
  <cols>
    <col min="2" max="2" width="21.109375" customWidth="1"/>
    <col min="4" max="4" width="11.88671875" bestFit="1" customWidth="1"/>
    <col min="5" max="5" width="10.5546875" bestFit="1" customWidth="1"/>
    <col min="16" max="16" width="10.5546875" bestFit="1" customWidth="1"/>
    <col min="19" max="19" width="17.88671875" bestFit="1" customWidth="1"/>
    <col min="20" max="20" width="10.5546875" bestFit="1" customWidth="1"/>
    <col min="21" max="22" width="10" bestFit="1" customWidth="1"/>
  </cols>
  <sheetData>
    <row r="3" spans="1:24" x14ac:dyDescent="0.3">
      <c r="A3">
        <v>1</v>
      </c>
      <c r="B3" s="50" t="s">
        <v>135</v>
      </c>
      <c r="D3" s="51" t="s">
        <v>136</v>
      </c>
      <c r="E3" s="51" t="s">
        <v>6</v>
      </c>
      <c r="F3" s="51" t="s">
        <v>137</v>
      </c>
      <c r="G3" s="51" t="s">
        <v>114</v>
      </c>
      <c r="H3" s="51" t="s">
        <v>115</v>
      </c>
      <c r="I3" s="51" t="s">
        <v>138</v>
      </c>
      <c r="J3" s="51" t="s">
        <v>139</v>
      </c>
      <c r="K3" s="51" t="s">
        <v>140</v>
      </c>
      <c r="L3" s="51" t="s">
        <v>141</v>
      </c>
      <c r="M3" s="51" t="s">
        <v>142</v>
      </c>
      <c r="N3" s="51" t="s">
        <v>143</v>
      </c>
      <c r="O3" s="51" t="s">
        <v>144</v>
      </c>
      <c r="P3" s="52" t="s">
        <v>14</v>
      </c>
      <c r="S3" s="53"/>
      <c r="T3" s="54" t="s">
        <v>145</v>
      </c>
      <c r="U3" s="54" t="s">
        <v>145</v>
      </c>
      <c r="V3" s="54" t="s">
        <v>145</v>
      </c>
      <c r="W3" s="54" t="s">
        <v>145</v>
      </c>
      <c r="X3" s="54" t="s">
        <v>146</v>
      </c>
    </row>
    <row r="4" spans="1:24" x14ac:dyDescent="0.3">
      <c r="B4" t="s">
        <v>145</v>
      </c>
      <c r="C4" t="s">
        <v>149</v>
      </c>
      <c r="D4" s="55">
        <f>'P&amp;L WACD'!AC6</f>
        <v>7.4676378514786673E-2</v>
      </c>
      <c r="E4" s="55">
        <f>'P&amp;L WACD'!AD6</f>
        <v>8.1064474280017493E-2</v>
      </c>
      <c r="F4" s="55">
        <f>'P&amp;L WACD'!AE6</f>
        <v>7.9698560572563415E-2</v>
      </c>
      <c r="G4" s="55">
        <f>'P&amp;L WACD'!AF6</f>
        <v>8.2174781261050309E-2</v>
      </c>
      <c r="H4" s="55">
        <f>'P&amp;L WACD'!AG6</f>
        <v>8.0414803791887812E-2</v>
      </c>
      <c r="I4" s="55">
        <f>'P&amp;L WACD'!AH6</f>
        <v>8.193624890114716E-2</v>
      </c>
      <c r="J4" s="55">
        <f>'P&amp;L WACD'!AI6</f>
        <v>8.4780068761601213E-2</v>
      </c>
      <c r="K4" s="55">
        <f>'P&amp;L WACD'!AJ6</f>
        <v>8.6797608335074869E-2</v>
      </c>
      <c r="L4" s="55">
        <f>'P&amp;L WACD'!AK6</f>
        <v>8.9111249442649462E-2</v>
      </c>
      <c r="M4" s="55">
        <f>'P&amp;L WACD'!AL6</f>
        <v>9.0038508971344994E-2</v>
      </c>
      <c r="N4" s="55">
        <f>'P&amp;L WACD'!AM6</f>
        <v>8.1343845716214086E-2</v>
      </c>
      <c r="O4" s="55">
        <f>'P&amp;L WACD'!AN6</f>
        <v>8.7963471451662584E-2</v>
      </c>
      <c r="P4" s="55">
        <f>SUM(D4:O4)</f>
        <v>1</v>
      </c>
      <c r="S4" s="53"/>
      <c r="T4" s="56" t="s">
        <v>148</v>
      </c>
      <c r="U4" s="56" t="s">
        <v>147</v>
      </c>
      <c r="V4" s="56" t="s">
        <v>149</v>
      </c>
      <c r="W4" s="56" t="s">
        <v>150</v>
      </c>
      <c r="X4" s="57" t="s">
        <v>163</v>
      </c>
    </row>
    <row r="5" spans="1:24" x14ac:dyDescent="0.3">
      <c r="B5" t="s">
        <v>145</v>
      </c>
      <c r="C5" s="58" t="s">
        <v>154</v>
      </c>
      <c r="D5" s="59">
        <f>'P&amp;L WACD'!AO6</f>
        <v>7.5923012782413174E-2</v>
      </c>
      <c r="E5" s="59">
        <f>'P&amp;L WACD'!AP6</f>
        <v>7.7480219817075618E-2</v>
      </c>
      <c r="F5" s="59">
        <f>'P&amp;L WACD'!AQ6</f>
        <v>7.817732112235487E-2</v>
      </c>
      <c r="G5" s="59">
        <f>'P&amp;L WACD'!AR6</f>
        <v>7.3821907711324589E-2</v>
      </c>
      <c r="H5" s="59">
        <f>'P&amp;L WACD'!AS6</f>
        <v>8.0140304795066938E-2</v>
      </c>
      <c r="I5" s="59">
        <f>'P&amp;L WACD'!AT6</f>
        <v>8.6795626005178872E-2</v>
      </c>
      <c r="J5" s="59">
        <f>'P&amp;L WACD'!AU6</f>
        <v>9.326400478042858E-2</v>
      </c>
      <c r="K5" s="59">
        <f>'P&amp;L WACD'!AV6</f>
        <v>8.8356974052803586E-2</v>
      </c>
      <c r="L5" s="59">
        <f>'P&amp;L WACD'!AW6</f>
        <v>9.1329655771817425E-2</v>
      </c>
      <c r="M5" s="59">
        <f>'P&amp;L WACD'!AX6</f>
        <v>8.1007621059717996E-2</v>
      </c>
      <c r="N5" s="59">
        <f>'P&amp;L WACD'!AY6</f>
        <v>8.0842998031027929E-2</v>
      </c>
      <c r="O5" s="59">
        <f>'P&amp;L WACD'!AZ6</f>
        <v>9.2860354070790616E-2</v>
      </c>
      <c r="P5" s="55">
        <f>SUM(D5:O5)</f>
        <v>1.0000000000000002</v>
      </c>
      <c r="S5" s="60" t="s">
        <v>135</v>
      </c>
      <c r="T5" s="61">
        <v>3805684.9899999998</v>
      </c>
      <c r="U5" s="61">
        <v>4754476.6000000006</v>
      </c>
      <c r="V5" s="61">
        <f>-SUM('P&amp;L WACD'!AC19:AN19)</f>
        <v>5896558.4399999995</v>
      </c>
      <c r="W5" s="61">
        <f>-SUM('P&amp;L WACD'!AO19:AZ19)</f>
        <v>7036925.5699999984</v>
      </c>
      <c r="X5" s="62">
        <f>X6+W5</f>
        <v>7786925.5699999984</v>
      </c>
    </row>
    <row r="6" spans="1:24" x14ac:dyDescent="0.3">
      <c r="B6" s="63"/>
      <c r="C6" t="s">
        <v>151</v>
      </c>
      <c r="D6" s="64">
        <f>AVERAGE(D4:D5)</f>
        <v>7.5299695648599924E-2</v>
      </c>
      <c r="E6" s="64">
        <f t="shared" ref="E6:O6" si="0">AVERAGE(E4:E5)</f>
        <v>7.9272347048546549E-2</v>
      </c>
      <c r="F6" s="64">
        <f t="shared" si="0"/>
        <v>7.8937940847459143E-2</v>
      </c>
      <c r="G6" s="64">
        <f t="shared" si="0"/>
        <v>7.7998344486187449E-2</v>
      </c>
      <c r="H6" s="64">
        <f t="shared" si="0"/>
        <v>8.0277554293477382E-2</v>
      </c>
      <c r="I6" s="64">
        <f t="shared" si="0"/>
        <v>8.4365937453163009E-2</v>
      </c>
      <c r="J6" s="64">
        <f t="shared" si="0"/>
        <v>8.902203677101489E-2</v>
      </c>
      <c r="K6" s="64">
        <f t="shared" si="0"/>
        <v>8.7577291193939227E-2</v>
      </c>
      <c r="L6" s="64">
        <f t="shared" si="0"/>
        <v>9.0220452607233437E-2</v>
      </c>
      <c r="M6" s="64">
        <f t="shared" si="0"/>
        <v>8.5523065015531502E-2</v>
      </c>
      <c r="N6" s="64">
        <f t="shared" si="0"/>
        <v>8.1093421873621008E-2</v>
      </c>
      <c r="O6" s="64">
        <f t="shared" si="0"/>
        <v>9.0411912761226593E-2</v>
      </c>
      <c r="P6" s="55">
        <f>SUM(D6:O6)</f>
        <v>1</v>
      </c>
      <c r="S6" s="53" t="s">
        <v>152</v>
      </c>
      <c r="T6" s="54"/>
      <c r="U6" s="65">
        <f>U5-T5</f>
        <v>948791.6100000008</v>
      </c>
      <c r="V6" s="65">
        <f>V5-U5</f>
        <v>1142081.8399999989</v>
      </c>
      <c r="W6" s="65">
        <f>W5-V5</f>
        <v>1140367.129999999</v>
      </c>
      <c r="X6" s="66">
        <v>750000</v>
      </c>
    </row>
    <row r="7" spans="1:24" x14ac:dyDescent="0.3">
      <c r="B7" s="63"/>
      <c r="S7" s="53" t="s">
        <v>153</v>
      </c>
      <c r="T7" s="54"/>
      <c r="U7" s="67">
        <f>U5/T5-1</f>
        <v>0.24930902386642373</v>
      </c>
      <c r="V7" s="67">
        <f>V5/U5-1</f>
        <v>0.24021189630000461</v>
      </c>
      <c r="W7" s="67">
        <f>W5/V5-1</f>
        <v>0.19339537487904535</v>
      </c>
      <c r="X7" s="67">
        <f>X5/W5-1</f>
        <v>0.1065806356112986</v>
      </c>
    </row>
    <row r="8" spans="1:24" x14ac:dyDescent="0.3">
      <c r="B8" t="s">
        <v>146</v>
      </c>
      <c r="C8" t="s">
        <v>164</v>
      </c>
      <c r="D8" s="68">
        <f>$X$5*D6</f>
        <v>586353.12545930035</v>
      </c>
      <c r="E8" s="68">
        <f t="shared" ref="E8:O8" si="1">$X$5*E6</f>
        <v>617287.86622624099</v>
      </c>
      <c r="F8" s="68">
        <f t="shared" si="1"/>
        <v>614683.87002822699</v>
      </c>
      <c r="G8" s="68">
        <f t="shared" si="1"/>
        <v>607367.30309716146</v>
      </c>
      <c r="H8" s="68">
        <f t="shared" si="1"/>
        <v>625115.34022494219</v>
      </c>
      <c r="I8" s="68">
        <f t="shared" si="1"/>
        <v>656951.27559105563</v>
      </c>
      <c r="J8" s="68">
        <f t="shared" si="1"/>
        <v>693207.97442569595</v>
      </c>
      <c r="K8" s="68">
        <f t="shared" si="1"/>
        <v>681957.84814942104</v>
      </c>
      <c r="L8" s="68">
        <f t="shared" si="1"/>
        <v>702539.94934423908</v>
      </c>
      <c r="M8" s="68">
        <f t="shared" si="1"/>
        <v>665961.74179421458</v>
      </c>
      <c r="N8" s="68">
        <f t="shared" si="1"/>
        <v>631468.44034649665</v>
      </c>
      <c r="O8" s="68">
        <f t="shared" si="1"/>
        <v>704030.83531300456</v>
      </c>
      <c r="P8" s="69">
        <f>SUM(D8:O8)</f>
        <v>7786925.5699999994</v>
      </c>
    </row>
    <row r="9" spans="1:24" x14ac:dyDescent="0.3">
      <c r="B9" t="s">
        <v>145</v>
      </c>
      <c r="C9" t="s">
        <v>164</v>
      </c>
      <c r="D9" s="68">
        <f>-'P&amp;L WACD'!BA19</f>
        <v>617842.09</v>
      </c>
      <c r="E9" s="68">
        <f>-'P&amp;L WACD'!BB19</f>
        <v>649472.9</v>
      </c>
      <c r="F9" s="68">
        <f>-'P&amp;L WACD'!BC19</f>
        <v>679312.86</v>
      </c>
      <c r="G9" s="68">
        <f>-'P&amp;L WACD'!BD19</f>
        <v>629471.90999999992</v>
      </c>
      <c r="H9" s="68">
        <f>-'P&amp;L WACD'!BE19</f>
        <v>640793.23</v>
      </c>
      <c r="S9" s="60" t="s">
        <v>155</v>
      </c>
      <c r="T9" s="61">
        <f>T5-T11</f>
        <v>1490020.4999999995</v>
      </c>
      <c r="U9" s="61">
        <f>U5-U11</f>
        <v>2021831.3800000004</v>
      </c>
      <c r="V9" s="61">
        <f>V5-V11</f>
        <v>3069366.62</v>
      </c>
      <c r="W9" s="61">
        <f>W5-W11</f>
        <v>3579540.5499999989</v>
      </c>
      <c r="X9" s="70">
        <f>X5-X11</f>
        <v>4282809.0634999992</v>
      </c>
    </row>
    <row r="10" spans="1:24" x14ac:dyDescent="0.3">
      <c r="B10" t="s">
        <v>156</v>
      </c>
      <c r="D10" s="55">
        <f>D9/D8-1</f>
        <v>5.370307272777608E-2</v>
      </c>
      <c r="E10" s="55">
        <f>E9/E8-1</f>
        <v>5.213942397818494E-2</v>
      </c>
      <c r="F10" s="55">
        <f t="shared" ref="F10:H10" si="2">F9/F8-1</f>
        <v>0.10514183488954276</v>
      </c>
      <c r="G10" s="55">
        <f t="shared" si="2"/>
        <v>3.6394133813460128E-2</v>
      </c>
      <c r="H10" s="55">
        <f t="shared" si="2"/>
        <v>2.5079995268419086E-2</v>
      </c>
    </row>
    <row r="11" spans="1:24" x14ac:dyDescent="0.3">
      <c r="B11" t="s">
        <v>157</v>
      </c>
      <c r="E11" s="55">
        <f>SUM(D9:E9)/SUM(D8:E8)-1</f>
        <v>5.290115470834178E-2</v>
      </c>
      <c r="F11" s="55">
        <f>SUM(E9:F9)/SUM(E8:F8)-1</f>
        <v>7.8584614319053392E-2</v>
      </c>
      <c r="G11" s="55">
        <f t="shared" ref="G11:H11" si="3">SUM(F9:G9)/SUM(F8:G8)-1</f>
        <v>7.0973784717043298E-2</v>
      </c>
      <c r="H11" s="55">
        <f t="shared" si="3"/>
        <v>3.0655601425797929E-2</v>
      </c>
      <c r="I11" s="55"/>
      <c r="J11" s="55"/>
      <c r="K11" s="55"/>
      <c r="L11" s="55"/>
      <c r="M11" s="55"/>
      <c r="N11" s="55"/>
      <c r="O11" s="55"/>
      <c r="S11" s="60" t="s">
        <v>110</v>
      </c>
      <c r="T11" s="71">
        <v>2315664.4900000002</v>
      </c>
      <c r="U11" s="71">
        <f>SUM('P&amp;L WACD'!Q105:AB105)</f>
        <v>2732645.22</v>
      </c>
      <c r="V11" s="71">
        <f>SUM('P&amp;L WACD'!AC105:AN105)</f>
        <v>2827191.8199999994</v>
      </c>
      <c r="W11" s="71">
        <f>SUM('P&amp;L WACD'!AO105:AZ105)</f>
        <v>3457385.0199999996</v>
      </c>
      <c r="X11" s="72">
        <f>+X5*X15</f>
        <v>3504116.5064999992</v>
      </c>
    </row>
    <row r="12" spans="1:24" x14ac:dyDescent="0.3">
      <c r="B12" t="s">
        <v>158</v>
      </c>
      <c r="E12" s="73">
        <f>SUM(D9:E9)/SUM('P&amp;L WACD'!AO19:AP19)*-1-1</f>
        <v>0.17399731296472254</v>
      </c>
      <c r="F12" s="73">
        <f>SUM(E9:F9)/SUM('P&amp;L WACD'!AP19:AQ19)*-1-1</f>
        <v>0.21311463646253959</v>
      </c>
      <c r="G12" s="73">
        <f>SUM(F9:G9)/SUM('P&amp;L WACD'!AQ19:AR19)*-1-1</f>
        <v>0.22361245939935004</v>
      </c>
      <c r="H12" s="73">
        <f>SUM(G9:H9)/SUM('P&amp;L WACD'!AR19:AS19)*-1-1</f>
        <v>0.17245795845700296</v>
      </c>
      <c r="I12" s="73"/>
      <c r="J12" s="73"/>
      <c r="K12" s="73"/>
      <c r="L12" s="73"/>
      <c r="M12" s="73"/>
      <c r="N12" s="73"/>
      <c r="O12" s="73"/>
      <c r="S12" s="60" t="s">
        <v>159</v>
      </c>
      <c r="T12" s="71"/>
      <c r="U12" s="71">
        <f>U11-T11</f>
        <v>416980.73</v>
      </c>
      <c r="V12" s="71">
        <f>V11-U11</f>
        <v>94546.599999999162</v>
      </c>
      <c r="W12" s="71">
        <f>W11-V11</f>
        <v>630193.20000000019</v>
      </c>
      <c r="X12" s="71">
        <f>X11-W11</f>
        <v>46731.48649999965</v>
      </c>
    </row>
    <row r="13" spans="1:24" x14ac:dyDescent="0.3">
      <c r="A13" s="76">
        <v>2</v>
      </c>
      <c r="B13" s="50" t="s">
        <v>155</v>
      </c>
      <c r="D13" s="51" t="s">
        <v>136</v>
      </c>
      <c r="E13" s="51" t="s">
        <v>6</v>
      </c>
      <c r="F13" s="51" t="s">
        <v>137</v>
      </c>
      <c r="G13" s="51" t="s">
        <v>114</v>
      </c>
      <c r="H13" s="51" t="s">
        <v>115</v>
      </c>
      <c r="I13" s="51" t="s">
        <v>138</v>
      </c>
      <c r="J13" s="51" t="s">
        <v>139</v>
      </c>
      <c r="K13" s="51" t="s">
        <v>140</v>
      </c>
      <c r="L13" s="51" t="s">
        <v>141</v>
      </c>
      <c r="M13" s="51" t="s">
        <v>142</v>
      </c>
      <c r="N13" s="51" t="s">
        <v>143</v>
      </c>
      <c r="O13" s="51" t="s">
        <v>144</v>
      </c>
      <c r="P13" s="52" t="s">
        <v>14</v>
      </c>
      <c r="S13" s="60" t="s">
        <v>160</v>
      </c>
      <c r="U13" s="67">
        <f>U11/T11-1</f>
        <v>0.18006957907792587</v>
      </c>
      <c r="V13" s="67">
        <f>V11/U11-1</f>
        <v>3.4598929750565777E-2</v>
      </c>
      <c r="W13" s="67">
        <f>W11/V11-1</f>
        <v>0.22290429518857358</v>
      </c>
      <c r="X13" s="67">
        <f>X11/W11-1</f>
        <v>1.3516425341600913E-2</v>
      </c>
    </row>
    <row r="14" spans="1:24" x14ac:dyDescent="0.3">
      <c r="B14" t="s">
        <v>145</v>
      </c>
      <c r="C14" t="s">
        <v>149</v>
      </c>
      <c r="D14" s="55">
        <f>'P&amp;L WACD'!AC108</f>
        <v>6.7360135036589414E-2</v>
      </c>
      <c r="E14" s="55">
        <f>'P&amp;L WACD'!AD108</f>
        <v>6.2651166773945027E-2</v>
      </c>
      <c r="F14" s="55">
        <f>'P&amp;L WACD'!AE108</f>
        <v>8.0061071362012806E-2</v>
      </c>
      <c r="G14" s="55">
        <f>'P&amp;L WACD'!AF108</f>
        <v>8.9004864462883873E-2</v>
      </c>
      <c r="H14" s="55">
        <f>'P&amp;L WACD'!AG108</f>
        <v>0.10320827037599045</v>
      </c>
      <c r="I14" s="55">
        <f>'P&amp;L WACD'!AH108</f>
        <v>7.7381010288044366E-2</v>
      </c>
      <c r="J14" s="55">
        <f>'P&amp;L WACD'!AI108</f>
        <v>9.978998533580194E-2</v>
      </c>
      <c r="K14" s="55">
        <f>'P&amp;L WACD'!AJ108</f>
        <v>8.5365895456307544E-2</v>
      </c>
      <c r="L14" s="55">
        <f>'P&amp;L WACD'!AK108</f>
        <v>8.3821557295752455E-2</v>
      </c>
      <c r="M14" s="55">
        <f>'P&amp;L WACD'!AL108</f>
        <v>9.1358969037071247E-2</v>
      </c>
      <c r="N14" s="55">
        <f>'P&amp;L WACD'!AM108</f>
        <v>7.6341150800682142E-2</v>
      </c>
      <c r="O14" s="55">
        <f>'P&amp;L WACD'!AN108</f>
        <v>8.3655923774918761E-2</v>
      </c>
      <c r="P14" s="55">
        <f>SUM(D14:O14)</f>
        <v>1.0000000000000002</v>
      </c>
    </row>
    <row r="15" spans="1:24" x14ac:dyDescent="0.3">
      <c r="B15" t="s">
        <v>145</v>
      </c>
      <c r="C15" s="58" t="s">
        <v>154</v>
      </c>
      <c r="D15" s="59">
        <f>'P&amp;L WACD'!AO108</f>
        <v>6.2464469078301138E-2</v>
      </c>
      <c r="E15" s="59">
        <f>'P&amp;L WACD'!AP108</f>
        <v>6.9652257466394668E-2</v>
      </c>
      <c r="F15" s="59">
        <f>'P&amp;L WACD'!AQ108</f>
        <v>0.12746140283283003</v>
      </c>
      <c r="G15" s="59">
        <f>'P&amp;L WACD'!AR108</f>
        <v>6.8272834623985479E-2</v>
      </c>
      <c r="H15" s="59">
        <f>'P&amp;L WACD'!AS108</f>
        <v>7.030126254611084E-2</v>
      </c>
      <c r="I15" s="59">
        <f>'P&amp;L WACD'!AT108</f>
        <v>9.0839800655422104E-2</v>
      </c>
      <c r="J15" s="59">
        <f>'P&amp;L WACD'!AU108</f>
        <v>7.190919236827753E-2</v>
      </c>
      <c r="K15" s="59">
        <f>'P&amp;L WACD'!AV108</f>
        <v>8.1915828555147951E-2</v>
      </c>
      <c r="L15" s="59">
        <f>'P&amp;L WACD'!AW108</f>
        <v>9.2073405901212657E-2</v>
      </c>
      <c r="M15" s="59">
        <f>'P&amp;L WACD'!AX108</f>
        <v>9.1449926443772256E-2</v>
      </c>
      <c r="N15" s="59">
        <f>'P&amp;L WACD'!AY108</f>
        <v>8.219869726018332E-2</v>
      </c>
      <c r="O15" s="59">
        <f>'P&amp;L WACD'!AZ108</f>
        <v>9.1460922268362096E-2</v>
      </c>
      <c r="P15" s="55">
        <f>SUM(D15:O15)</f>
        <v>1</v>
      </c>
      <c r="S15" s="60" t="s">
        <v>165</v>
      </c>
      <c r="T15" s="67">
        <f>+T11/T5</f>
        <v>0.60847508295740482</v>
      </c>
      <c r="U15" s="67">
        <f t="shared" ref="U15:W15" si="4">+U11/U5</f>
        <v>0.57475205998489931</v>
      </c>
      <c r="V15" s="67">
        <f t="shared" si="4"/>
        <v>0.47946473333010836</v>
      </c>
      <c r="W15" s="67">
        <f t="shared" si="4"/>
        <v>0.49132039064610999</v>
      </c>
      <c r="X15" s="81">
        <v>0.45</v>
      </c>
    </row>
    <row r="16" spans="1:24" x14ac:dyDescent="0.3">
      <c r="C16" t="s">
        <v>151</v>
      </c>
      <c r="D16" s="64">
        <f>AVERAGE(D14:D15)</f>
        <v>6.4912302057445276E-2</v>
      </c>
      <c r="E16" s="64">
        <f t="shared" ref="E16:O16" si="5">AVERAGE(E14:E15)</f>
        <v>6.6151712120169848E-2</v>
      </c>
      <c r="F16" s="64">
        <f t="shared" si="5"/>
        <v>0.10376123709742141</v>
      </c>
      <c r="G16" s="64">
        <f t="shared" si="5"/>
        <v>7.8638849543434669E-2</v>
      </c>
      <c r="H16" s="64">
        <f t="shared" si="5"/>
        <v>8.6754766461050653E-2</v>
      </c>
      <c r="I16" s="64">
        <f t="shared" si="5"/>
        <v>8.4110405471733235E-2</v>
      </c>
      <c r="J16" s="64">
        <f t="shared" si="5"/>
        <v>8.5849588852039735E-2</v>
      </c>
      <c r="K16" s="64">
        <f t="shared" si="5"/>
        <v>8.3640862005727748E-2</v>
      </c>
      <c r="L16" s="64">
        <f t="shared" si="5"/>
        <v>8.7947481598482563E-2</v>
      </c>
      <c r="M16" s="64">
        <f t="shared" si="5"/>
        <v>9.1404447740421751E-2</v>
      </c>
      <c r="N16" s="64">
        <f t="shared" si="5"/>
        <v>7.9269924030432731E-2</v>
      </c>
      <c r="O16" s="64">
        <f t="shared" si="5"/>
        <v>8.7558423021640436E-2</v>
      </c>
      <c r="P16" s="55">
        <f>SUM(D16:O16)</f>
        <v>1</v>
      </c>
    </row>
    <row r="18" spans="1:16" x14ac:dyDescent="0.3">
      <c r="B18" t="s">
        <v>146</v>
      </c>
      <c r="C18" t="s">
        <v>164</v>
      </c>
      <c r="D18" s="68">
        <f>$X$9*D16</f>
        <v>278006.99558427627</v>
      </c>
      <c r="E18" s="68">
        <f t="shared" ref="E18:O18" si="6">$X$9*E16</f>
        <v>283315.15223430615</v>
      </c>
      <c r="F18" s="68">
        <f t="shared" si="6"/>
        <v>444389.56668080878</v>
      </c>
      <c r="G18" s="68">
        <f t="shared" si="6"/>
        <v>336795.17756783479</v>
      </c>
      <c r="H18" s="68">
        <f t="shared" si="6"/>
        <v>371554.10010121349</v>
      </c>
      <c r="I18" s="68">
        <f t="shared" si="6"/>
        <v>360228.80688899901</v>
      </c>
      <c r="J18" s="68">
        <f t="shared" si="6"/>
        <v>367677.39723326429</v>
      </c>
      <c r="K18" s="68">
        <f t="shared" si="6"/>
        <v>358217.84187708353</v>
      </c>
      <c r="L18" s="68">
        <f t="shared" si="6"/>
        <v>376662.27130198054</v>
      </c>
      <c r="M18" s="68">
        <f t="shared" si="6"/>
        <v>391467.79722689028</v>
      </c>
      <c r="N18" s="68">
        <f t="shared" si="6"/>
        <v>339497.94910049369</v>
      </c>
      <c r="O18" s="68">
        <f t="shared" si="6"/>
        <v>374996.00770284864</v>
      </c>
      <c r="P18" s="74">
        <f>SUM(D18:O18)</f>
        <v>4282809.0634999992</v>
      </c>
    </row>
    <row r="19" spans="1:16" x14ac:dyDescent="0.3">
      <c r="B19" t="s">
        <v>145</v>
      </c>
      <c r="C19" t="s">
        <v>164</v>
      </c>
      <c r="D19" s="68">
        <f>'P&amp;L WACD'!AO107</f>
        <v>223594.10000000003</v>
      </c>
      <c r="E19" s="68">
        <f>'P&amp;L WACD'!AP107</f>
        <v>249323.07999999996</v>
      </c>
      <c r="F19" s="68">
        <f>'P&amp;L WACD'!AQ107</f>
        <v>456253.25999999989</v>
      </c>
      <c r="G19" s="68">
        <f>'P&amp;L WACD'!AR107</f>
        <v>244385.38</v>
      </c>
      <c r="H19" s="68">
        <f>'P&amp;L WACD'!AS107</f>
        <v>251646.21999999997</v>
      </c>
    </row>
    <row r="20" spans="1:16" x14ac:dyDescent="0.3">
      <c r="B20" t="s">
        <v>156</v>
      </c>
      <c r="D20" s="55">
        <f>D19/D18-1</f>
        <v>-0.19572491501488587</v>
      </c>
      <c r="E20" s="55">
        <f t="shared" ref="E20:H20" si="7">E19/E18-1</f>
        <v>-0.11997971857923861</v>
      </c>
      <c r="F20" s="55">
        <f t="shared" si="7"/>
        <v>2.6696606330797179E-2</v>
      </c>
      <c r="G20" s="55">
        <f t="shared" si="7"/>
        <v>-0.27437981219081531</v>
      </c>
      <c r="H20" s="55">
        <f t="shared" si="7"/>
        <v>-0.32271984098291451</v>
      </c>
    </row>
    <row r="23" spans="1:16" x14ac:dyDescent="0.3">
      <c r="A23" s="76">
        <v>3</v>
      </c>
      <c r="B23" s="50" t="s">
        <v>110</v>
      </c>
      <c r="D23" s="68"/>
    </row>
    <row r="24" spans="1:16" x14ac:dyDescent="0.3">
      <c r="B24" t="s">
        <v>146</v>
      </c>
      <c r="C24" t="s">
        <v>164</v>
      </c>
      <c r="D24" s="68">
        <f>D8-D18</f>
        <v>308346.12987502408</v>
      </c>
      <c r="E24" s="68">
        <f>E8-E18</f>
        <v>333972.71399193484</v>
      </c>
      <c r="F24" s="68">
        <f t="shared" ref="F24:O24" si="8">F8-F18</f>
        <v>170294.3033474182</v>
      </c>
      <c r="G24" s="68">
        <f t="shared" si="8"/>
        <v>270572.12552932667</v>
      </c>
      <c r="H24" s="68">
        <f t="shared" si="8"/>
        <v>253561.2401237287</v>
      </c>
      <c r="I24" s="68">
        <f t="shared" si="8"/>
        <v>296722.46870205662</v>
      </c>
      <c r="J24" s="68">
        <f t="shared" si="8"/>
        <v>325530.57719243167</v>
      </c>
      <c r="K24" s="68">
        <f t="shared" si="8"/>
        <v>323740.00627233752</v>
      </c>
      <c r="L24" s="68">
        <f t="shared" si="8"/>
        <v>325877.67804225854</v>
      </c>
      <c r="M24" s="68">
        <f t="shared" si="8"/>
        <v>274493.9445673243</v>
      </c>
      <c r="N24" s="68">
        <f t="shared" si="8"/>
        <v>291970.49124600296</v>
      </c>
      <c r="O24" s="68">
        <f t="shared" si="8"/>
        <v>329034.82761015592</v>
      </c>
      <c r="P24" s="75">
        <f>SUM(D24:O24)</f>
        <v>3504116.5064999997</v>
      </c>
    </row>
    <row r="25" spans="1:16" x14ac:dyDescent="0.3">
      <c r="B25" t="s">
        <v>145</v>
      </c>
      <c r="C25" t="s">
        <v>164</v>
      </c>
      <c r="D25" s="68">
        <f>D9-D19</f>
        <v>394247.98999999993</v>
      </c>
      <c r="E25" s="68">
        <f t="shared" ref="E25:H25" si="9">E9-E19</f>
        <v>400149.82000000007</v>
      </c>
      <c r="F25" s="68">
        <f t="shared" si="9"/>
        <v>223059.60000000009</v>
      </c>
      <c r="G25" s="68">
        <f t="shared" si="9"/>
        <v>385086.52999999991</v>
      </c>
      <c r="H25" s="68">
        <f t="shared" si="9"/>
        <v>389147.01</v>
      </c>
    </row>
    <row r="26" spans="1:16" x14ac:dyDescent="0.3">
      <c r="B26" t="s">
        <v>156</v>
      </c>
      <c r="D26" s="55">
        <f>D25/D24-1</f>
        <v>0.27858906534611849</v>
      </c>
      <c r="E26" s="55">
        <f t="shared" ref="E26:H26" si="10">E25/E24-1</f>
        <v>0.19815123582120941</v>
      </c>
      <c r="F26" s="55">
        <f t="shared" si="10"/>
        <v>0.309847690823428</v>
      </c>
      <c r="G26" s="55">
        <f t="shared" si="10"/>
        <v>0.42323060532065515</v>
      </c>
      <c r="H26" s="55">
        <f t="shared" si="10"/>
        <v>0.53472592976004685</v>
      </c>
    </row>
    <row r="28" spans="1:16" x14ac:dyDescent="0.3">
      <c r="A28" s="76">
        <v>4</v>
      </c>
      <c r="B28" s="76" t="s">
        <v>161</v>
      </c>
    </row>
    <row r="29" spans="1:16" x14ac:dyDescent="0.3">
      <c r="B29" t="s">
        <v>146</v>
      </c>
      <c r="C29" t="s">
        <v>164</v>
      </c>
      <c r="D29" s="77">
        <f>D24/D8</f>
        <v>0.52587104338105362</v>
      </c>
      <c r="E29" s="77">
        <f t="shared" ref="E29:H29" si="11">E24/E8</f>
        <v>0.54103236474363348</v>
      </c>
      <c r="F29" s="77">
        <f t="shared" si="11"/>
        <v>0.2770437157226821</v>
      </c>
      <c r="G29" s="77">
        <f t="shared" si="11"/>
        <v>0.44548352232593402</v>
      </c>
      <c r="H29" s="77">
        <f t="shared" si="11"/>
        <v>0.40562312873730944</v>
      </c>
    </row>
    <row r="30" spans="1:16" x14ac:dyDescent="0.3">
      <c r="B30" t="s">
        <v>145</v>
      </c>
      <c r="C30" t="s">
        <v>164</v>
      </c>
      <c r="D30" s="77">
        <f>D25/D9</f>
        <v>0.63810477852034964</v>
      </c>
      <c r="E30" s="77">
        <f t="shared" ref="E30:H30" si="12">E25/E9</f>
        <v>0.61611472934436529</v>
      </c>
      <c r="F30" s="77">
        <f t="shared" si="12"/>
        <v>0.32836063194799536</v>
      </c>
      <c r="G30" s="77">
        <f t="shared" si="12"/>
        <v>0.61176126191238611</v>
      </c>
      <c r="H30" s="77">
        <f t="shared" si="12"/>
        <v>0.60728951521538399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811F-E0C6-44DA-B6A3-73D9A697F4E6}">
  <dimension ref="B1:X29"/>
  <sheetViews>
    <sheetView topLeftCell="B10" zoomScaleNormal="100" workbookViewId="0">
      <selection activeCell="D18" sqref="D18"/>
    </sheetView>
  </sheetViews>
  <sheetFormatPr defaultColWidth="8.6640625" defaultRowHeight="15" customHeight="1" x14ac:dyDescent="0.3"/>
  <cols>
    <col min="1" max="1" width="3" style="82" customWidth="1"/>
    <col min="2" max="2" width="22" style="82" customWidth="1"/>
    <col min="3" max="3" width="12" style="82" customWidth="1"/>
    <col min="4" max="16" width="15" style="82" customWidth="1"/>
    <col min="17" max="17" width="8.6640625" style="82"/>
    <col min="18" max="18" width="3" style="82" customWidth="1"/>
    <col min="19" max="19" width="22" style="82" customWidth="1"/>
    <col min="20" max="23" width="14" style="82" customWidth="1"/>
    <col min="24" max="24" width="12.6640625" style="82" bestFit="1" customWidth="1"/>
    <col min="25" max="16384" width="8.6640625" style="82"/>
  </cols>
  <sheetData>
    <row r="1" spans="2:24" ht="15" customHeight="1" x14ac:dyDescent="0.3"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2:24" ht="15" customHeight="1" x14ac:dyDescent="0.3"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2:24" ht="15.6" x14ac:dyDescent="0.3">
      <c r="B3" s="85" t="s">
        <v>135</v>
      </c>
      <c r="D3" s="86" t="s">
        <v>136</v>
      </c>
      <c r="E3" s="86" t="s">
        <v>6</v>
      </c>
      <c r="F3" s="86" t="s">
        <v>137</v>
      </c>
      <c r="G3" s="86" t="s">
        <v>114</v>
      </c>
      <c r="H3" s="86" t="s">
        <v>115</v>
      </c>
      <c r="I3" s="86" t="s">
        <v>117</v>
      </c>
      <c r="J3" s="86" t="s">
        <v>139</v>
      </c>
      <c r="K3" s="86" t="s">
        <v>140</v>
      </c>
      <c r="L3" s="86" t="s">
        <v>141</v>
      </c>
      <c r="M3" s="86" t="s">
        <v>142</v>
      </c>
      <c r="N3" s="86" t="s">
        <v>143</v>
      </c>
      <c r="O3" s="86" t="s">
        <v>144</v>
      </c>
      <c r="P3" s="86" t="s">
        <v>14</v>
      </c>
      <c r="S3" s="87"/>
      <c r="T3" s="87" t="s">
        <v>145</v>
      </c>
      <c r="U3" s="87" t="s">
        <v>145</v>
      </c>
      <c r="V3" s="88" t="s">
        <v>166</v>
      </c>
      <c r="W3" s="87" t="s">
        <v>146</v>
      </c>
      <c r="X3" s="87" t="s">
        <v>146</v>
      </c>
    </row>
    <row r="4" spans="2:24" ht="14.4" x14ac:dyDescent="0.3">
      <c r="B4" s="89" t="s">
        <v>145</v>
      </c>
      <c r="C4" s="89" t="s">
        <v>149</v>
      </c>
      <c r="D4" s="90">
        <v>7.4676378514786701E-2</v>
      </c>
      <c r="E4" s="90">
        <v>8.1064474280017507E-2</v>
      </c>
      <c r="F4" s="90">
        <v>7.9698560572563401E-2</v>
      </c>
      <c r="G4" s="90">
        <v>8.2174781261050295E-2</v>
      </c>
      <c r="H4" s="90">
        <v>8.0414803791887798E-2</v>
      </c>
      <c r="I4" s="90">
        <v>8.1936248901147202E-2</v>
      </c>
      <c r="J4" s="90">
        <v>8.4780068761601199E-2</v>
      </c>
      <c r="K4" s="90">
        <v>8.6797608335074897E-2</v>
      </c>
      <c r="L4" s="90">
        <v>8.9111249442649504E-2</v>
      </c>
      <c r="M4" s="90">
        <v>9.0038508971344994E-2</v>
      </c>
      <c r="N4" s="90">
        <v>8.13438457162141E-2</v>
      </c>
      <c r="O4" s="90">
        <v>8.7963471451662598E-2</v>
      </c>
      <c r="P4" s="91">
        <f>SUM(D4:O4)</f>
        <v>1.0000000000000002</v>
      </c>
      <c r="T4" s="87" t="s">
        <v>147</v>
      </c>
      <c r="U4" s="87" t="s">
        <v>149</v>
      </c>
      <c r="V4" s="87" t="s">
        <v>154</v>
      </c>
      <c r="W4" s="87" t="s">
        <v>164</v>
      </c>
      <c r="X4" s="87" t="s">
        <v>154</v>
      </c>
    </row>
    <row r="5" spans="2:24" ht="14.4" x14ac:dyDescent="0.3">
      <c r="B5" s="89" t="s">
        <v>145</v>
      </c>
      <c r="C5" s="89" t="s">
        <v>154</v>
      </c>
      <c r="D5" s="90">
        <v>7.6332074393461805E-2</v>
      </c>
      <c r="E5" s="90">
        <v>7.78976714220799E-2</v>
      </c>
      <c r="F5" s="90">
        <v>7.8598528602851297E-2</v>
      </c>
      <c r="G5" s="90">
        <v>7.4219648888767295E-2</v>
      </c>
      <c r="H5" s="90">
        <v>8.05720885321448E-2</v>
      </c>
      <c r="I5" s="90">
        <v>8.7263267597687905E-2</v>
      </c>
      <c r="J5" s="90">
        <v>9.3766497011047306E-2</v>
      </c>
      <c r="K5" s="90">
        <v>8.8833027950414395E-2</v>
      </c>
      <c r="L5" s="90">
        <v>9.1821726025056796E-2</v>
      </c>
      <c r="M5" s="90">
        <v>8.1444077764523407E-2</v>
      </c>
      <c r="N5" s="90">
        <v>8.1278567772067406E-2</v>
      </c>
      <c r="O5" s="90">
        <v>8.7972824039897798E-2</v>
      </c>
      <c r="P5" s="91">
        <f>SUM(D5:O5)</f>
        <v>1.0000000000000002</v>
      </c>
      <c r="S5" s="87" t="s">
        <v>135</v>
      </c>
      <c r="T5" s="92">
        <v>4754476.5999999996</v>
      </c>
      <c r="U5" s="92">
        <v>5896558.4400000004</v>
      </c>
      <c r="V5" s="92">
        <v>6999214.8679999998</v>
      </c>
      <c r="W5" s="93">
        <v>7749214.8679999998</v>
      </c>
      <c r="X5" s="92">
        <v>6546558.4400000004</v>
      </c>
    </row>
    <row r="6" spans="2:24" ht="14.4" x14ac:dyDescent="0.3">
      <c r="C6" s="87" t="s">
        <v>151</v>
      </c>
      <c r="D6" s="90">
        <f t="shared" ref="D6:O6" si="0">(D4+D5)/2</f>
        <v>7.5504226454124246E-2</v>
      </c>
      <c r="E6" s="90">
        <f t="shared" si="0"/>
        <v>7.9481072851048704E-2</v>
      </c>
      <c r="F6" s="90">
        <f t="shared" si="0"/>
        <v>7.9148544587707342E-2</v>
      </c>
      <c r="G6" s="90">
        <f t="shared" si="0"/>
        <v>7.8197215074908788E-2</v>
      </c>
      <c r="H6" s="90">
        <f t="shared" si="0"/>
        <v>8.0493446162016299E-2</v>
      </c>
      <c r="I6" s="90">
        <f t="shared" si="0"/>
        <v>8.4599758249417553E-2</v>
      </c>
      <c r="J6" s="90">
        <f t="shared" si="0"/>
        <v>8.9273282886324246E-2</v>
      </c>
      <c r="K6" s="90">
        <f t="shared" si="0"/>
        <v>8.7815318142744653E-2</v>
      </c>
      <c r="L6" s="90">
        <f t="shared" si="0"/>
        <v>9.0466487733853157E-2</v>
      </c>
      <c r="M6" s="90">
        <f t="shared" si="0"/>
        <v>8.5741293367934207E-2</v>
      </c>
      <c r="N6" s="90">
        <f t="shared" si="0"/>
        <v>8.1311206744140746E-2</v>
      </c>
      <c r="O6" s="90">
        <f t="shared" si="0"/>
        <v>8.7968147745780198E-2</v>
      </c>
      <c r="P6" s="94">
        <f>SUM(D6:O6)</f>
        <v>1.0000000000000002</v>
      </c>
      <c r="S6" s="89" t="s">
        <v>152</v>
      </c>
      <c r="U6" s="92">
        <f>U5-T5</f>
        <v>1142081.8400000008</v>
      </c>
      <c r="V6" s="92">
        <f>V5-U5</f>
        <v>1102656.4279999994</v>
      </c>
      <c r="W6" s="92">
        <f>W5-V5</f>
        <v>750000</v>
      </c>
    </row>
    <row r="7" spans="2:24" ht="14.4" x14ac:dyDescent="0.3">
      <c r="S7" s="89" t="s">
        <v>153</v>
      </c>
      <c r="U7" s="95">
        <f>U6/T5</f>
        <v>0.24021189630000511</v>
      </c>
      <c r="V7" s="95">
        <f>V6/U5</f>
        <v>0.18699999995251457</v>
      </c>
      <c r="W7" s="95">
        <f>W6/V5</f>
        <v>0.1071548758174229</v>
      </c>
    </row>
    <row r="8" spans="2:24" ht="14.4" x14ac:dyDescent="0.3">
      <c r="B8" s="87" t="s">
        <v>146</v>
      </c>
      <c r="C8" s="87" t="s">
        <v>164</v>
      </c>
      <c r="D8" s="96">
        <f>D6*P8</f>
        <v>585098.47423513851</v>
      </c>
      <c r="E8" s="96">
        <f>E6*P8</f>
        <v>615915.91146193771</v>
      </c>
      <c r="F8" s="96">
        <f>F6*P8</f>
        <v>613339.07849962264</v>
      </c>
      <c r="G8" s="96">
        <f>G6*P8</f>
        <v>605967.02169467695</v>
      </c>
      <c r="H8" s="96">
        <f>H6*P8</f>
        <v>623761.00977525418</v>
      </c>
      <c r="I8" s="96">
        <f>I6*P8</f>
        <v>655581.70445559209</v>
      </c>
      <c r="J8" s="96">
        <f>J6*P8</f>
        <v>691797.85105787381</v>
      </c>
      <c r="K8" s="96">
        <f>K6*P8</f>
        <v>680499.768989907</v>
      </c>
      <c r="L8" s="96">
        <f>L6*P8</f>
        <v>701044.25180291454</v>
      </c>
      <c r="M8" s="96">
        <f>M6*P8</f>
        <v>664427.70536834549</v>
      </c>
      <c r="N8" s="96">
        <f>N6*P8</f>
        <v>630098.01223671727</v>
      </c>
      <c r="O8" s="96">
        <f>O6*P8</f>
        <v>681684.07842202054</v>
      </c>
      <c r="P8" s="97">
        <v>7749214.8679999998</v>
      </c>
    </row>
    <row r="9" spans="2:24" ht="14.4" x14ac:dyDescent="0.3">
      <c r="S9" s="87" t="s">
        <v>155</v>
      </c>
      <c r="T9" s="92">
        <v>2021831.38</v>
      </c>
      <c r="U9" s="92">
        <v>3069366.62</v>
      </c>
      <c r="V9" s="92">
        <v>3562600.3679999998</v>
      </c>
      <c r="W9" s="93">
        <v>4262068.1770000001</v>
      </c>
      <c r="X9" s="92">
        <v>3969366.62</v>
      </c>
    </row>
    <row r="11" spans="2:24" ht="14.4" x14ac:dyDescent="0.3">
      <c r="S11" s="87" t="s">
        <v>110</v>
      </c>
      <c r="T11" s="92">
        <v>2732645.22</v>
      </c>
      <c r="U11" s="92">
        <v>2827191.82</v>
      </c>
      <c r="V11" s="92">
        <v>3436614.5</v>
      </c>
      <c r="W11" s="93">
        <v>3487146.6910000001</v>
      </c>
      <c r="X11" s="92">
        <v>2577191.8199999998</v>
      </c>
    </row>
    <row r="12" spans="2:24" ht="14.4" x14ac:dyDescent="0.3">
      <c r="S12" s="89" t="s">
        <v>159</v>
      </c>
      <c r="U12" s="92">
        <f>U11-T11</f>
        <v>94546.599999999627</v>
      </c>
      <c r="V12" s="92">
        <f>V11-U11</f>
        <v>609422.68000000017</v>
      </c>
    </row>
    <row r="13" spans="2:24" ht="15.6" x14ac:dyDescent="0.3">
      <c r="B13" s="85" t="s">
        <v>155</v>
      </c>
      <c r="D13" s="86" t="s">
        <v>136</v>
      </c>
      <c r="E13" s="86" t="s">
        <v>6</v>
      </c>
      <c r="F13" s="86" t="s">
        <v>137</v>
      </c>
      <c r="G13" s="86" t="s">
        <v>114</v>
      </c>
      <c r="H13" s="86" t="s">
        <v>115</v>
      </c>
      <c r="I13" s="86" t="s">
        <v>117</v>
      </c>
      <c r="J13" s="86" t="s">
        <v>139</v>
      </c>
      <c r="K13" s="86" t="s">
        <v>140</v>
      </c>
      <c r="L13" s="86" t="s">
        <v>141</v>
      </c>
      <c r="M13" s="86" t="s">
        <v>142</v>
      </c>
      <c r="N13" s="86" t="s">
        <v>143</v>
      </c>
      <c r="O13" s="86" t="s">
        <v>144</v>
      </c>
      <c r="P13" s="86" t="s">
        <v>14</v>
      </c>
      <c r="S13" s="89" t="s">
        <v>160</v>
      </c>
      <c r="U13" s="95">
        <f>U12/T11</f>
        <v>3.4598929750565874E-2</v>
      </c>
      <c r="V13" s="95">
        <f>V12/U11</f>
        <v>0.21555759877658398</v>
      </c>
    </row>
    <row r="14" spans="2:24" ht="14.4" x14ac:dyDescent="0.3">
      <c r="B14" s="89" t="s">
        <v>145</v>
      </c>
      <c r="C14" s="89" t="s">
        <v>149</v>
      </c>
      <c r="D14" s="98">
        <v>6.73601350365894E-2</v>
      </c>
      <c r="E14" s="98">
        <v>6.2651166773945E-2</v>
      </c>
      <c r="F14" s="98">
        <v>8.0061071362012806E-2</v>
      </c>
      <c r="G14" s="98">
        <v>8.9004864462883901E-2</v>
      </c>
      <c r="H14" s="98">
        <v>0.10320827037599099</v>
      </c>
      <c r="I14" s="98">
        <v>7.7381010288044394E-2</v>
      </c>
      <c r="J14" s="98">
        <v>9.9789985335801898E-2</v>
      </c>
      <c r="K14" s="98">
        <v>8.5365895456307503E-2</v>
      </c>
      <c r="L14" s="98">
        <v>8.3821557295752497E-2</v>
      </c>
      <c r="M14" s="98">
        <v>9.1358969037071303E-2</v>
      </c>
      <c r="N14" s="98">
        <v>7.63411508006821E-2</v>
      </c>
      <c r="O14" s="98">
        <v>8.3655923774918803E-2</v>
      </c>
      <c r="P14" s="99">
        <f>SUM(D14:O14)</f>
        <v>1.0000000000000004</v>
      </c>
    </row>
    <row r="15" spans="2:24" ht="14.4" x14ac:dyDescent="0.3">
      <c r="B15" s="89" t="s">
        <v>145</v>
      </c>
      <c r="C15" s="89" t="s">
        <v>154</v>
      </c>
      <c r="D15" s="98">
        <v>6.2761487931222298E-2</v>
      </c>
      <c r="E15" s="98">
        <v>6.9983454287904603E-2</v>
      </c>
      <c r="F15" s="98">
        <v>0.12806748242047</v>
      </c>
      <c r="G15" s="98">
        <v>6.8597472283200497E-2</v>
      </c>
      <c r="H15" s="98">
        <v>7.0635545389917301E-2</v>
      </c>
      <c r="I15" s="98">
        <v>9.1271744347386205E-2</v>
      </c>
      <c r="J15" s="98">
        <v>7.2251120926174001E-2</v>
      </c>
      <c r="K15" s="98">
        <v>8.2305338716565202E-2</v>
      </c>
      <c r="L15" s="98">
        <v>9.2511215392093601E-2</v>
      </c>
      <c r="M15" s="98">
        <v>9.1884771286814201E-2</v>
      </c>
      <c r="N15" s="98">
        <v>8.23855217206894E-2</v>
      </c>
      <c r="O15" s="98">
        <v>8.7344845297562895E-2</v>
      </c>
      <c r="P15" s="99">
        <f>SUM(D15:O15)</f>
        <v>1.0000000000000002</v>
      </c>
      <c r="S15" s="87" t="s">
        <v>167</v>
      </c>
      <c r="T15" s="95">
        <f>T11/T5</f>
        <v>0.57475205998489942</v>
      </c>
      <c r="U15" s="95">
        <f>U11/U5</f>
        <v>0.47946473333010836</v>
      </c>
      <c r="V15" s="95">
        <f>V11/V5</f>
        <v>0.49099999997313987</v>
      </c>
      <c r="W15" s="95">
        <f>W11/W5</f>
        <v>0.45000000005161817</v>
      </c>
    </row>
    <row r="16" spans="2:24" ht="14.4" x14ac:dyDescent="0.3">
      <c r="C16" s="87" t="s">
        <v>151</v>
      </c>
      <c r="D16" s="98">
        <f t="shared" ref="D16:O16" si="1">(D14+D15)/2</f>
        <v>6.5060811483905856E-2</v>
      </c>
      <c r="E16" s="98">
        <f t="shared" si="1"/>
        <v>6.6317310530924795E-2</v>
      </c>
      <c r="F16" s="98">
        <f t="shared" si="1"/>
        <v>0.1040642768912414</v>
      </c>
      <c r="G16" s="98">
        <f t="shared" si="1"/>
        <v>7.8801168373042199E-2</v>
      </c>
      <c r="H16" s="98">
        <f t="shared" si="1"/>
        <v>8.6921907882954147E-2</v>
      </c>
      <c r="I16" s="98">
        <f t="shared" si="1"/>
        <v>8.4326377317715306E-2</v>
      </c>
      <c r="J16" s="98">
        <f t="shared" si="1"/>
        <v>8.6020553130987942E-2</v>
      </c>
      <c r="K16" s="98">
        <f t="shared" si="1"/>
        <v>8.3835617086436359E-2</v>
      </c>
      <c r="L16" s="98">
        <f t="shared" si="1"/>
        <v>8.8166386343923042E-2</v>
      </c>
      <c r="M16" s="98">
        <f t="shared" si="1"/>
        <v>9.1621870161942759E-2</v>
      </c>
      <c r="N16" s="98">
        <f t="shared" si="1"/>
        <v>7.9363336260685757E-2</v>
      </c>
      <c r="O16" s="98">
        <f t="shared" si="1"/>
        <v>8.5500384536240842E-2</v>
      </c>
      <c r="P16" s="100">
        <f>SUM(D16:O16)</f>
        <v>1.0000000000000004</v>
      </c>
    </row>
    <row r="18" spans="2:16" ht="14.4" x14ac:dyDescent="0.3">
      <c r="B18" s="87" t="s">
        <v>146</v>
      </c>
      <c r="C18" s="87" t="s">
        <v>164</v>
      </c>
      <c r="D18" s="96">
        <f>D16*P18</f>
        <v>277293.61419535131</v>
      </c>
      <c r="E18" s="96">
        <f>E16*P18</f>
        <v>282648.89879808156</v>
      </c>
      <c r="F18" s="96">
        <f>F16*P18</f>
        <v>443529.04290067649</v>
      </c>
      <c r="G18" s="96">
        <f>G16*P18</f>
        <v>335855.95203316206</v>
      </c>
      <c r="H18" s="96">
        <f>H16*P18</f>
        <v>370467.09747206431</v>
      </c>
      <c r="I18" s="96">
        <f>I16*P18</f>
        <v>359404.76924752904</v>
      </c>
      <c r="J18" s="96">
        <f>J16*P18</f>
        <v>366625.46206752141</v>
      </c>
      <c r="K18" s="96">
        <f>K16*P18</f>
        <v>357313.11568325787</v>
      </c>
      <c r="L18" s="96">
        <f>L16*P18</f>
        <v>375771.14951752179</v>
      </c>
      <c r="M18" s="96">
        <f>M16*P18</f>
        <v>390498.65713444207</v>
      </c>
      <c r="N18" s="96">
        <f>N16*P18</f>
        <v>338251.94989721896</v>
      </c>
      <c r="O18" s="96">
        <f>O16*P18</f>
        <v>364408.46805317502</v>
      </c>
      <c r="P18" s="97">
        <v>4262068.1770000001</v>
      </c>
    </row>
    <row r="23" spans="2:16" ht="15.6" x14ac:dyDescent="0.3">
      <c r="B23" s="85" t="s">
        <v>110</v>
      </c>
      <c r="D23" s="86" t="s">
        <v>136</v>
      </c>
      <c r="E23" s="86" t="s">
        <v>6</v>
      </c>
      <c r="F23" s="86" t="s">
        <v>137</v>
      </c>
      <c r="G23" s="86" t="s">
        <v>114</v>
      </c>
      <c r="H23" s="86" t="s">
        <v>115</v>
      </c>
      <c r="I23" s="86" t="s">
        <v>117</v>
      </c>
      <c r="J23" s="86" t="s">
        <v>139</v>
      </c>
      <c r="K23" s="86" t="s">
        <v>140</v>
      </c>
      <c r="L23" s="86" t="s">
        <v>141</v>
      </c>
      <c r="M23" s="86" t="s">
        <v>142</v>
      </c>
      <c r="N23" s="86" t="s">
        <v>143</v>
      </c>
      <c r="O23" s="86" t="s">
        <v>144</v>
      </c>
      <c r="P23" s="86" t="s">
        <v>14</v>
      </c>
    </row>
    <row r="24" spans="2:16" ht="14.4" x14ac:dyDescent="0.3">
      <c r="B24" s="87" t="s">
        <v>146</v>
      </c>
      <c r="C24" s="87" t="s">
        <v>164</v>
      </c>
      <c r="D24" s="96">
        <f t="shared" ref="D24:O24" si="2">D8-D18</f>
        <v>307804.86003978719</v>
      </c>
      <c r="E24" s="96">
        <f t="shared" si="2"/>
        <v>333267.01266385615</v>
      </c>
      <c r="F24" s="96">
        <f t="shared" si="2"/>
        <v>169810.03559894615</v>
      </c>
      <c r="G24" s="96">
        <f t="shared" si="2"/>
        <v>270111.06966151489</v>
      </c>
      <c r="H24" s="96">
        <f t="shared" si="2"/>
        <v>253293.91230318986</v>
      </c>
      <c r="I24" s="96">
        <f t="shared" si="2"/>
        <v>296176.93520806305</v>
      </c>
      <c r="J24" s="96">
        <f t="shared" si="2"/>
        <v>325172.3889903524</v>
      </c>
      <c r="K24" s="96">
        <f t="shared" si="2"/>
        <v>323186.65330664912</v>
      </c>
      <c r="L24" s="96">
        <f t="shared" si="2"/>
        <v>325273.10228539276</v>
      </c>
      <c r="M24" s="96">
        <f t="shared" si="2"/>
        <v>273929.04823390342</v>
      </c>
      <c r="N24" s="96">
        <f t="shared" si="2"/>
        <v>291846.06233949831</v>
      </c>
      <c r="O24" s="96">
        <f t="shared" si="2"/>
        <v>317275.61036884552</v>
      </c>
      <c r="P24" s="101">
        <f>SUM(D24:O24)</f>
        <v>3487146.6909999987</v>
      </c>
    </row>
    <row r="28" spans="2:16" ht="15.6" x14ac:dyDescent="0.3">
      <c r="B28" s="85" t="s">
        <v>161</v>
      </c>
    </row>
    <row r="29" spans="2:16" ht="14.4" x14ac:dyDescent="0.3">
      <c r="B29" s="87" t="s">
        <v>146</v>
      </c>
      <c r="C29" s="87" t="s">
        <v>164</v>
      </c>
      <c r="D29" s="95">
        <f t="shared" ref="D29:P29" si="3">D24/D8</f>
        <v>0.52607359887950589</v>
      </c>
      <c r="E29" s="95">
        <f t="shared" si="3"/>
        <v>0.54109174070988642</v>
      </c>
      <c r="F29" s="95">
        <f t="shared" si="3"/>
        <v>0.27686159508104885</v>
      </c>
      <c r="G29" s="95">
        <f t="shared" si="3"/>
        <v>0.44575209539639482</v>
      </c>
      <c r="H29" s="95">
        <f t="shared" si="3"/>
        <v>0.40607525692324625</v>
      </c>
      <c r="I29" s="95">
        <f t="shared" si="3"/>
        <v>0.45177730433159996</v>
      </c>
      <c r="J29" s="95">
        <f t="shared" si="3"/>
        <v>0.47003960549040419</v>
      </c>
      <c r="K29" s="95">
        <f t="shared" si="3"/>
        <v>0.47492544161531164</v>
      </c>
      <c r="L29" s="95">
        <f t="shared" si="3"/>
        <v>0.46398369496486108</v>
      </c>
      <c r="M29" s="95">
        <f t="shared" si="3"/>
        <v>0.41227818470038452</v>
      </c>
      <c r="N29" s="95">
        <f t="shared" si="3"/>
        <v>0.46317565945574929</v>
      </c>
      <c r="O29" s="95">
        <f t="shared" si="3"/>
        <v>0.46542910478895605</v>
      </c>
      <c r="P29" s="102">
        <f t="shared" si="3"/>
        <v>0.450000000051618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5696-7889-412B-A2DF-E673DB44ED24}">
  <dimension ref="A1:Q14"/>
  <sheetViews>
    <sheetView topLeftCell="E1" workbookViewId="0">
      <selection activeCell="Q12" sqref="Q12"/>
    </sheetView>
  </sheetViews>
  <sheetFormatPr defaultRowHeight="14.4" x14ac:dyDescent="0.3"/>
  <cols>
    <col min="1" max="1" width="12.5546875" bestFit="1" customWidth="1"/>
    <col min="2" max="7" width="13.44140625" style="107" bestFit="1" customWidth="1"/>
    <col min="8" max="10" width="14.44140625" style="107" bestFit="1" customWidth="1"/>
    <col min="11" max="11" width="12.33203125" style="107" bestFit="1" customWidth="1"/>
    <col min="12" max="13" width="13.44140625" style="107" bestFit="1" customWidth="1"/>
    <col min="14" max="14" width="10" bestFit="1" customWidth="1"/>
  </cols>
  <sheetData>
    <row r="1" spans="1:17" x14ac:dyDescent="0.3">
      <c r="A1" s="105" t="s">
        <v>174</v>
      </c>
      <c r="B1" s="106" t="s">
        <v>176</v>
      </c>
      <c r="C1" s="106" t="s">
        <v>177</v>
      </c>
      <c r="D1" s="106" t="s">
        <v>178</v>
      </c>
      <c r="E1" s="106" t="s">
        <v>179</v>
      </c>
      <c r="F1" s="106" t="s">
        <v>180</v>
      </c>
      <c r="G1" s="106" t="s">
        <v>181</v>
      </c>
      <c r="H1" s="106" t="s">
        <v>182</v>
      </c>
      <c r="I1" s="106" t="s">
        <v>183</v>
      </c>
      <c r="J1" s="106" t="s">
        <v>184</v>
      </c>
      <c r="K1" s="106" t="s">
        <v>185</v>
      </c>
      <c r="L1" s="106" t="s">
        <v>186</v>
      </c>
      <c r="M1" s="106" t="s">
        <v>187</v>
      </c>
      <c r="N1" s="106" t="s">
        <v>14</v>
      </c>
      <c r="O1" s="106" t="s">
        <v>202</v>
      </c>
      <c r="P1" s="106" t="s">
        <v>201</v>
      </c>
      <c r="Q1" s="106" t="s">
        <v>203</v>
      </c>
    </row>
    <row r="2" spans="1:17" x14ac:dyDescent="0.3">
      <c r="A2" s="63" t="s">
        <v>171</v>
      </c>
      <c r="B2" s="106">
        <v>-10870.46</v>
      </c>
      <c r="C2" s="106">
        <v>-13882.26</v>
      </c>
      <c r="D2" s="106">
        <v>-14642.420000000002</v>
      </c>
      <c r="E2" s="106">
        <v>-11364.330000000002</v>
      </c>
      <c r="F2" s="106">
        <v>-11127.949999999999</v>
      </c>
      <c r="G2" s="106">
        <v>-13811.399999999996</v>
      </c>
      <c r="H2" s="106">
        <v>-24145.32</v>
      </c>
      <c r="I2" s="106">
        <v>-24963.520000000004</v>
      </c>
      <c r="J2" s="106">
        <v>-24665.899999999998</v>
      </c>
      <c r="K2" s="106">
        <v>-26513.59</v>
      </c>
      <c r="L2" s="106">
        <v>-17470.32</v>
      </c>
      <c r="M2" s="106">
        <v>-13233.52</v>
      </c>
      <c r="N2" s="106">
        <f>SUM(B2:M2)</f>
        <v>-206690.99</v>
      </c>
      <c r="Q2">
        <f>+N2/12</f>
        <v>-17224.249166666665</v>
      </c>
    </row>
    <row r="3" spans="1:17" x14ac:dyDescent="0.3">
      <c r="A3" s="63" t="s">
        <v>92</v>
      </c>
      <c r="B3" s="106">
        <v>43114.36</v>
      </c>
      <c r="C3" s="106">
        <v>55839.87</v>
      </c>
      <c r="D3" s="106">
        <v>42829.52</v>
      </c>
      <c r="E3" s="106">
        <v>32034.45</v>
      </c>
      <c r="F3" s="106">
        <v>80242.11</v>
      </c>
      <c r="G3" s="106">
        <v>86706</v>
      </c>
      <c r="H3" s="106">
        <v>75262.12</v>
      </c>
      <c r="I3" s="106">
        <v>66265</v>
      </c>
      <c r="J3" s="106">
        <v>63229</v>
      </c>
      <c r="K3" s="106">
        <v>71734.720000000001</v>
      </c>
      <c r="L3" s="106">
        <v>54664</v>
      </c>
      <c r="M3" s="106">
        <v>87840</v>
      </c>
      <c r="N3" s="106">
        <f t="shared" ref="N3:N4" si="0">SUM(B3:M3)</f>
        <v>759761.14999999991</v>
      </c>
      <c r="O3" s="108">
        <f>+N3/P3</f>
        <v>0.12884823541238405</v>
      </c>
      <c r="P3">
        <v>5896558.4399999995</v>
      </c>
    </row>
    <row r="4" spans="1:17" x14ac:dyDescent="0.3">
      <c r="A4" s="63" t="s">
        <v>175</v>
      </c>
      <c r="B4" s="106">
        <v>32243.9</v>
      </c>
      <c r="C4" s="106">
        <v>41957.61</v>
      </c>
      <c r="D4" s="106">
        <v>28187.099999999995</v>
      </c>
      <c r="E4" s="106">
        <v>20670.12</v>
      </c>
      <c r="F4" s="106">
        <v>69114.16</v>
      </c>
      <c r="G4" s="106">
        <v>72894.600000000006</v>
      </c>
      <c r="H4" s="106">
        <v>51116.799999999996</v>
      </c>
      <c r="I4" s="106">
        <v>41301.479999999996</v>
      </c>
      <c r="J4" s="106">
        <v>38563.100000000006</v>
      </c>
      <c r="K4" s="106">
        <v>45221.130000000005</v>
      </c>
      <c r="L4" s="106">
        <v>37193.68</v>
      </c>
      <c r="M4" s="106">
        <v>74606.48</v>
      </c>
      <c r="N4" s="106">
        <f t="shared" si="0"/>
        <v>553070.16</v>
      </c>
    </row>
    <row r="5" spans="1:17" x14ac:dyDescent="0.3">
      <c r="B5"/>
      <c r="C5"/>
      <c r="D5"/>
      <c r="E5"/>
      <c r="F5"/>
      <c r="G5"/>
      <c r="H5"/>
      <c r="I5"/>
      <c r="J5"/>
      <c r="K5"/>
      <c r="L5"/>
      <c r="M5"/>
      <c r="N5" s="106">
        <f>SUM(N2:N4)</f>
        <v>1106140.3199999998</v>
      </c>
    </row>
    <row r="6" spans="1:17" x14ac:dyDescent="0.3">
      <c r="A6" s="63"/>
    </row>
    <row r="7" spans="1:17" x14ac:dyDescent="0.3">
      <c r="A7" s="105" t="s">
        <v>174</v>
      </c>
      <c r="B7" s="106" t="s">
        <v>188</v>
      </c>
      <c r="C7" s="106" t="s">
        <v>189</v>
      </c>
      <c r="D7" s="106" t="s">
        <v>190</v>
      </c>
      <c r="E7" s="106" t="s">
        <v>191</v>
      </c>
      <c r="F7" s="106" t="s">
        <v>192</v>
      </c>
      <c r="G7" s="106" t="s">
        <v>193</v>
      </c>
      <c r="H7" s="106" t="s">
        <v>194</v>
      </c>
      <c r="I7" s="106" t="s">
        <v>195</v>
      </c>
      <c r="J7" s="106" t="s">
        <v>196</v>
      </c>
      <c r="K7" s="106" t="s">
        <v>197</v>
      </c>
      <c r="L7" s="106" t="s">
        <v>198</v>
      </c>
      <c r="M7" s="106" t="s">
        <v>199</v>
      </c>
    </row>
    <row r="8" spans="1:17" x14ac:dyDescent="0.3">
      <c r="A8" s="63" t="s">
        <v>171</v>
      </c>
      <c r="B8" s="106">
        <v>-802.32999999999993</v>
      </c>
      <c r="C8" s="106">
        <v>-19684.850000000002</v>
      </c>
      <c r="D8" s="106">
        <v>-12127.02</v>
      </c>
      <c r="E8" s="106">
        <v>-27461.620000000003</v>
      </c>
      <c r="F8" s="106">
        <v>-15566.35</v>
      </c>
      <c r="G8" s="106">
        <v>-36819.379999999997</v>
      </c>
      <c r="H8" s="106">
        <v>-10191.35</v>
      </c>
      <c r="I8" s="106">
        <v>-21404.73</v>
      </c>
      <c r="J8" s="106">
        <v>-18127.649999999998</v>
      </c>
      <c r="K8" s="106">
        <v>-19121.79</v>
      </c>
      <c r="L8" s="106">
        <v>-27033.99</v>
      </c>
      <c r="M8" s="106">
        <v>-35258.03</v>
      </c>
      <c r="N8" s="106">
        <f>SUM(B8:M8)</f>
        <v>-243599.09000000003</v>
      </c>
      <c r="Q8">
        <f>+N8/12</f>
        <v>-20299.924166666668</v>
      </c>
    </row>
    <row r="9" spans="1:17" x14ac:dyDescent="0.3">
      <c r="A9" s="63" t="s">
        <v>92</v>
      </c>
      <c r="B9" s="106">
        <v>68950</v>
      </c>
      <c r="C9" s="106">
        <v>81605</v>
      </c>
      <c r="D9" s="106">
        <v>26394</v>
      </c>
      <c r="E9" s="106">
        <v>78720</v>
      </c>
      <c r="F9" s="106">
        <v>85833</v>
      </c>
      <c r="G9" s="106">
        <v>78748.41</v>
      </c>
      <c r="H9" s="106">
        <v>107561.76</v>
      </c>
      <c r="I9" s="106">
        <v>88185.99</v>
      </c>
      <c r="J9" s="106">
        <v>86825.82</v>
      </c>
      <c r="K9" s="106">
        <v>67432.36</v>
      </c>
      <c r="L9" s="106">
        <v>78280</v>
      </c>
      <c r="M9" s="106">
        <v>93100</v>
      </c>
      <c r="N9" s="106">
        <f t="shared" ref="N9:N10" si="1">SUM(B9:M9)</f>
        <v>941636.34</v>
      </c>
      <c r="O9" s="108">
        <f>+N9/P9</f>
        <v>0.13381359950919591</v>
      </c>
      <c r="P9">
        <v>7036925.5699999984</v>
      </c>
    </row>
    <row r="10" spans="1:17" x14ac:dyDescent="0.3">
      <c r="A10" s="63" t="s">
        <v>175</v>
      </c>
      <c r="B10" s="106">
        <v>68147.67</v>
      </c>
      <c r="C10" s="106">
        <v>61920.149999999994</v>
      </c>
      <c r="D10" s="106">
        <v>14266.98</v>
      </c>
      <c r="E10" s="106">
        <v>51258.38</v>
      </c>
      <c r="F10" s="106">
        <v>70266.649999999994</v>
      </c>
      <c r="G10" s="106">
        <v>41929.030000000006</v>
      </c>
      <c r="H10" s="106">
        <v>97370.409999999989</v>
      </c>
      <c r="I10" s="106">
        <v>66781.260000000009</v>
      </c>
      <c r="J10" s="106">
        <v>68698.170000000013</v>
      </c>
      <c r="K10" s="106">
        <v>48310.57</v>
      </c>
      <c r="L10" s="106">
        <v>51246.009999999995</v>
      </c>
      <c r="M10" s="106">
        <v>57841.97</v>
      </c>
      <c r="N10" s="106">
        <f t="shared" si="1"/>
        <v>698037.24999999988</v>
      </c>
    </row>
    <row r="11" spans="1:17" x14ac:dyDescent="0.3">
      <c r="B11"/>
      <c r="C11"/>
      <c r="D11"/>
      <c r="E11"/>
      <c r="F11"/>
      <c r="G11"/>
      <c r="H11"/>
      <c r="I11"/>
      <c r="J11"/>
      <c r="K11"/>
      <c r="L11"/>
      <c r="M11"/>
      <c r="N11" s="106">
        <f>SUM(N8:N10)</f>
        <v>1396074.5</v>
      </c>
    </row>
    <row r="12" spans="1:17" x14ac:dyDescent="0.3">
      <c r="B12"/>
      <c r="C12"/>
      <c r="D12"/>
      <c r="E12"/>
      <c r="F12"/>
      <c r="G12"/>
      <c r="H12"/>
      <c r="I12"/>
      <c r="J12"/>
      <c r="K12"/>
      <c r="L12"/>
      <c r="M12"/>
      <c r="N12" s="106"/>
      <c r="Q12">
        <f>+AVERAGE(Q8,Q2)</f>
        <v>-18762.086666666666</v>
      </c>
    </row>
    <row r="13" spans="1:17" x14ac:dyDescent="0.3">
      <c r="B13"/>
      <c r="C13"/>
      <c r="D13"/>
      <c r="E13"/>
      <c r="F13"/>
      <c r="G13"/>
      <c r="H13"/>
      <c r="I13"/>
      <c r="J13"/>
      <c r="K13"/>
      <c r="L13"/>
      <c r="M13"/>
      <c r="N13" s="106"/>
    </row>
    <row r="14" spans="1:17" x14ac:dyDescent="0.3">
      <c r="A14" s="63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O14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5E49-6483-4AEF-A437-83ACCB36E74A}">
  <dimension ref="A1:N35"/>
  <sheetViews>
    <sheetView workbookViewId="0">
      <selection activeCell="A16" sqref="A16"/>
    </sheetView>
  </sheetViews>
  <sheetFormatPr defaultRowHeight="14.4" x14ac:dyDescent="0.3"/>
  <cols>
    <col min="1" max="1" width="12.5546875" bestFit="1" customWidth="1"/>
    <col min="2" max="7" width="13.44140625" style="107" bestFit="1" customWidth="1"/>
    <col min="8" max="10" width="14.44140625" style="107" bestFit="1" customWidth="1"/>
    <col min="11" max="11" width="12.33203125" style="107" bestFit="1" customWidth="1"/>
    <col min="12" max="13" width="13.44140625" style="107" bestFit="1" customWidth="1"/>
    <col min="14" max="14" width="10" bestFit="1" customWidth="1"/>
  </cols>
  <sheetData>
    <row r="1" spans="1:14" x14ac:dyDescent="0.3">
      <c r="A1" s="105" t="s">
        <v>174</v>
      </c>
      <c r="B1" s="106" t="s">
        <v>176</v>
      </c>
      <c r="C1" s="106" t="s">
        <v>177</v>
      </c>
      <c r="D1" s="106" t="s">
        <v>178</v>
      </c>
      <c r="E1" s="106" t="s">
        <v>179</v>
      </c>
      <c r="F1" s="106" t="s">
        <v>180</v>
      </c>
      <c r="G1" s="106" t="s">
        <v>181</v>
      </c>
      <c r="H1" s="106" t="s">
        <v>182</v>
      </c>
      <c r="I1" s="106" t="s">
        <v>183</v>
      </c>
      <c r="J1" s="106" t="s">
        <v>184</v>
      </c>
      <c r="K1" s="106" t="s">
        <v>185</v>
      </c>
      <c r="L1" s="106" t="s">
        <v>186</v>
      </c>
      <c r="M1" s="106" t="s">
        <v>187</v>
      </c>
    </row>
    <row r="2" spans="1:14" x14ac:dyDescent="0.3">
      <c r="A2" s="63" t="s">
        <v>168</v>
      </c>
      <c r="B2" s="106">
        <v>7155.9</v>
      </c>
      <c r="C2" s="106">
        <v>6655.11</v>
      </c>
      <c r="D2" s="106">
        <v>36583.339999999997</v>
      </c>
      <c r="E2" s="106">
        <v>25780.1</v>
      </c>
      <c r="F2" s="106">
        <v>5822.75</v>
      </c>
      <c r="G2" s="106">
        <v>6136.45</v>
      </c>
      <c r="H2" s="106">
        <v>55014.13</v>
      </c>
      <c r="I2" s="106">
        <v>1860.7</v>
      </c>
      <c r="J2" s="106">
        <v>1929.01</v>
      </c>
      <c r="K2" s="106">
        <v>1934.88</v>
      </c>
      <c r="L2" s="106">
        <v>2029.5</v>
      </c>
      <c r="M2" s="106">
        <v>1801.75</v>
      </c>
      <c r="N2" s="106">
        <f>SUM(B2:M2)</f>
        <v>152703.62</v>
      </c>
    </row>
    <row r="3" spans="1:14" x14ac:dyDescent="0.3">
      <c r="A3" s="63" t="s">
        <v>169</v>
      </c>
      <c r="B3" s="106">
        <v>62587.979999999996</v>
      </c>
      <c r="C3" s="106">
        <v>61042.189999999995</v>
      </c>
      <c r="D3" s="106">
        <v>68117.710000000006</v>
      </c>
      <c r="E3" s="106">
        <v>98716.81</v>
      </c>
      <c r="F3" s="106">
        <v>72232.84</v>
      </c>
      <c r="G3" s="106">
        <v>78966.479999999981</v>
      </c>
      <c r="H3" s="106">
        <v>93031.85</v>
      </c>
      <c r="I3" s="106">
        <v>110141.24</v>
      </c>
      <c r="J3" s="106">
        <v>104418.4</v>
      </c>
      <c r="K3" s="106">
        <v>118511.41999999998</v>
      </c>
      <c r="L3" s="106">
        <v>76889.939999999988</v>
      </c>
      <c r="M3" s="106">
        <v>91340.87</v>
      </c>
      <c r="N3" s="106">
        <f t="shared" ref="N3:N4" si="0">SUM(B3:M3)</f>
        <v>1035997.7299999999</v>
      </c>
    </row>
    <row r="4" spans="1:14" x14ac:dyDescent="0.3">
      <c r="A4" s="63" t="s">
        <v>170</v>
      </c>
      <c r="B4" s="106">
        <v>137009.07</v>
      </c>
      <c r="C4" s="106">
        <v>124602.09999999999</v>
      </c>
      <c r="D4" s="106">
        <v>141035.73000000001</v>
      </c>
      <c r="E4" s="106">
        <v>148691.65000000002</v>
      </c>
      <c r="F4" s="106">
        <v>238728.43</v>
      </c>
      <c r="G4" s="106">
        <v>152407.76</v>
      </c>
      <c r="H4" s="106">
        <v>158246.07</v>
      </c>
      <c r="I4" s="106">
        <v>150017.29</v>
      </c>
      <c r="J4" s="106">
        <v>150931.68000000002</v>
      </c>
      <c r="K4" s="106">
        <v>159967.87</v>
      </c>
      <c r="L4" s="106">
        <v>155399.53999999998</v>
      </c>
      <c r="M4" s="106">
        <v>163628.07999999999</v>
      </c>
      <c r="N4" s="106">
        <f t="shared" si="0"/>
        <v>1880665.27</v>
      </c>
    </row>
    <row r="5" spans="1:14" x14ac:dyDescent="0.3">
      <c r="A5" s="63" t="s">
        <v>175</v>
      </c>
      <c r="B5" s="106">
        <v>206752.95</v>
      </c>
      <c r="C5" s="106">
        <v>192299.39999999997</v>
      </c>
      <c r="D5" s="106">
        <v>245736.78000000003</v>
      </c>
      <c r="E5" s="106">
        <v>273188.56000000006</v>
      </c>
      <c r="F5" s="106">
        <v>316784.02</v>
      </c>
      <c r="G5" s="106">
        <v>237510.69</v>
      </c>
      <c r="H5" s="106">
        <v>306292.05000000005</v>
      </c>
      <c r="I5" s="106">
        <v>262019.23</v>
      </c>
      <c r="J5" s="106">
        <v>257279.09000000003</v>
      </c>
      <c r="K5" s="106">
        <v>280414.17</v>
      </c>
      <c r="L5" s="106">
        <v>234318.97999999998</v>
      </c>
      <c r="M5" s="106">
        <v>256770.69999999998</v>
      </c>
      <c r="N5" s="106">
        <f>SUM(N2:N4)</f>
        <v>3069366.62</v>
      </c>
    </row>
    <row r="6" spans="1:14" x14ac:dyDescent="0.3">
      <c r="A6" s="63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</row>
    <row r="7" spans="1:14" x14ac:dyDescent="0.3">
      <c r="A7" s="63" t="s">
        <v>149</v>
      </c>
      <c r="B7"/>
      <c r="C7"/>
      <c r="D7"/>
      <c r="E7"/>
      <c r="F7"/>
      <c r="G7"/>
      <c r="H7"/>
      <c r="I7"/>
      <c r="J7"/>
      <c r="K7"/>
      <c r="L7"/>
      <c r="M7"/>
    </row>
    <row r="8" spans="1:14" x14ac:dyDescent="0.3">
      <c r="A8" s="63" t="s">
        <v>168</v>
      </c>
      <c r="B8" s="108">
        <f>+B2/B$5</f>
        <v>3.4610872541359139E-2</v>
      </c>
      <c r="C8" s="108">
        <f t="shared" ref="C8:M8" si="1">+C2/C$5</f>
        <v>3.4608064299732608E-2</v>
      </c>
      <c r="D8" s="108">
        <f t="shared" si="1"/>
        <v>0.14887205732898426</v>
      </c>
      <c r="E8" s="108">
        <f t="shared" si="1"/>
        <v>9.436742153478167E-2</v>
      </c>
      <c r="F8" s="108">
        <f t="shared" si="1"/>
        <v>1.8380819840596755E-2</v>
      </c>
      <c r="G8" s="108">
        <f t="shared" si="1"/>
        <v>2.5836521295104654E-2</v>
      </c>
      <c r="H8" s="108">
        <f t="shared" si="1"/>
        <v>0.1796133135025868</v>
      </c>
      <c r="I8" s="108">
        <f t="shared" si="1"/>
        <v>7.1013871768114117E-3</v>
      </c>
      <c r="J8" s="108">
        <f t="shared" si="1"/>
        <v>7.497733298108291E-3</v>
      </c>
      <c r="K8" s="108">
        <f t="shared" si="1"/>
        <v>6.9000792648959228E-3</v>
      </c>
      <c r="L8" s="108">
        <f t="shared" si="1"/>
        <v>8.6612702052561007E-3</v>
      </c>
      <c r="M8" s="108">
        <f t="shared" si="1"/>
        <v>7.0169610473469132E-3</v>
      </c>
      <c r="N8" s="108">
        <f t="shared" ref="N8" si="2">+N2/N$5</f>
        <v>4.9750857067703429E-2</v>
      </c>
    </row>
    <row r="9" spans="1:14" x14ac:dyDescent="0.3">
      <c r="A9" s="63" t="s">
        <v>169</v>
      </c>
      <c r="B9" s="108">
        <f t="shared" ref="B9:M10" si="3">+B3/B$5</f>
        <v>0.30271867946745135</v>
      </c>
      <c r="C9" s="108">
        <f t="shared" si="3"/>
        <v>0.31743307571422485</v>
      </c>
      <c r="D9" s="108">
        <f t="shared" si="3"/>
        <v>0.27719786187480766</v>
      </c>
      <c r="E9" s="108">
        <f t="shared" si="3"/>
        <v>0.36135045332791377</v>
      </c>
      <c r="F9" s="108">
        <f t="shared" si="3"/>
        <v>0.22801920374645157</v>
      </c>
      <c r="G9" s="108">
        <f t="shared" si="3"/>
        <v>0.3324754772090468</v>
      </c>
      <c r="H9" s="108">
        <f t="shared" si="3"/>
        <v>0.30373576460766771</v>
      </c>
      <c r="I9" s="108">
        <f t="shared" si="3"/>
        <v>0.42035555939920899</v>
      </c>
      <c r="J9" s="108">
        <f t="shared" si="3"/>
        <v>0.40585653501806146</v>
      </c>
      <c r="K9" s="108">
        <f t="shared" si="3"/>
        <v>0.42262992629794705</v>
      </c>
      <c r="L9" s="108">
        <f t="shared" si="3"/>
        <v>0.3281421761054098</v>
      </c>
      <c r="M9" s="108">
        <f t="shared" si="3"/>
        <v>0.35572933360387304</v>
      </c>
      <c r="N9" s="108">
        <f t="shared" ref="N9" si="4">+N3/N$5</f>
        <v>0.33752818032535969</v>
      </c>
    </row>
    <row r="10" spans="1:14" x14ac:dyDescent="0.3">
      <c r="A10" s="63" t="s">
        <v>170</v>
      </c>
      <c r="B10" s="108">
        <f t="shared" si="3"/>
        <v>0.66267044799118946</v>
      </c>
      <c r="C10" s="108">
        <f t="shared" si="3"/>
        <v>0.64795885998604263</v>
      </c>
      <c r="D10" s="108">
        <f t="shared" si="3"/>
        <v>0.573930080796208</v>
      </c>
      <c r="E10" s="108">
        <f t="shared" si="3"/>
        <v>0.54428212513730445</v>
      </c>
      <c r="F10" s="108">
        <f t="shared" si="3"/>
        <v>0.75359997641295162</v>
      </c>
      <c r="G10" s="108">
        <f t="shared" si="3"/>
        <v>0.64168800149584848</v>
      </c>
      <c r="H10" s="108">
        <f t="shared" si="3"/>
        <v>0.51665092188974537</v>
      </c>
      <c r="I10" s="108">
        <f t="shared" si="3"/>
        <v>0.5725430534239796</v>
      </c>
      <c r="J10" s="108">
        <f t="shared" si="3"/>
        <v>0.58664573168383027</v>
      </c>
      <c r="K10" s="108">
        <f t="shared" si="3"/>
        <v>0.57046999443715707</v>
      </c>
      <c r="L10" s="108">
        <f t="shared" si="3"/>
        <v>0.66319655368933406</v>
      </c>
      <c r="M10" s="108">
        <f t="shared" si="3"/>
        <v>0.63725370534878001</v>
      </c>
      <c r="N10" s="108">
        <f t="shared" ref="N10" si="5">+N4/N$5</f>
        <v>0.61272096260693676</v>
      </c>
    </row>
    <row r="11" spans="1:14" x14ac:dyDescent="0.3">
      <c r="A11" s="63"/>
    </row>
    <row r="12" spans="1:14" x14ac:dyDescent="0.3">
      <c r="A12" s="63"/>
    </row>
    <row r="13" spans="1:14" x14ac:dyDescent="0.3">
      <c r="A13" s="105" t="s">
        <v>174</v>
      </c>
      <c r="B13" s="106" t="s">
        <v>188</v>
      </c>
      <c r="C13" s="106" t="s">
        <v>189</v>
      </c>
      <c r="D13" s="106" t="s">
        <v>190</v>
      </c>
      <c r="E13" s="106" t="s">
        <v>191</v>
      </c>
      <c r="F13" s="106" t="s">
        <v>192</v>
      </c>
      <c r="G13" s="106" t="s">
        <v>193</v>
      </c>
      <c r="H13" s="106" t="s">
        <v>194</v>
      </c>
      <c r="I13" s="106" t="s">
        <v>195</v>
      </c>
      <c r="J13" s="106" t="s">
        <v>196</v>
      </c>
      <c r="K13" s="106" t="s">
        <v>197</v>
      </c>
      <c r="L13" s="106" t="s">
        <v>198</v>
      </c>
      <c r="M13" s="106" t="s">
        <v>199</v>
      </c>
    </row>
    <row r="14" spans="1:14" x14ac:dyDescent="0.3">
      <c r="A14" s="63" t="s">
        <v>168</v>
      </c>
      <c r="B14" s="106">
        <v>539.19000000000005</v>
      </c>
      <c r="C14" s="106">
        <v>486.38</v>
      </c>
      <c r="D14" s="106">
        <v>805.44</v>
      </c>
      <c r="E14" s="106">
        <v>2615.38</v>
      </c>
      <c r="F14" s="106">
        <v>2744.64</v>
      </c>
      <c r="G14" s="106">
        <v>2810.74</v>
      </c>
      <c r="H14" s="106">
        <v>4828.72</v>
      </c>
      <c r="I14" s="106">
        <v>6554.09</v>
      </c>
      <c r="J14" s="106">
        <v>6772.57</v>
      </c>
      <c r="K14" s="106">
        <v>32072.6</v>
      </c>
      <c r="L14" s="106">
        <v>16499.66</v>
      </c>
      <c r="M14" s="106">
        <v>14980</v>
      </c>
      <c r="N14" s="106">
        <f>SUM(B14:M14)</f>
        <v>91709.41</v>
      </c>
    </row>
    <row r="15" spans="1:14" x14ac:dyDescent="0.3">
      <c r="A15" s="63" t="s">
        <v>169</v>
      </c>
      <c r="B15" s="106">
        <v>69899.219999999987</v>
      </c>
      <c r="C15" s="106">
        <v>91831.74</v>
      </c>
      <c r="D15" s="106">
        <v>111934.19</v>
      </c>
      <c r="E15" s="106">
        <v>76457.8</v>
      </c>
      <c r="F15" s="106">
        <v>60816.31</v>
      </c>
      <c r="G15" s="106">
        <v>113547.76</v>
      </c>
      <c r="H15" s="106">
        <v>81857.59</v>
      </c>
      <c r="I15" s="106">
        <v>91656.969999999987</v>
      </c>
      <c r="J15" s="106">
        <v>102076.78999999998</v>
      </c>
      <c r="K15" s="106">
        <v>103154.28</v>
      </c>
      <c r="L15" s="106">
        <v>97629.09</v>
      </c>
      <c r="M15" s="106">
        <v>111107.65999999999</v>
      </c>
      <c r="N15" s="106">
        <f t="shared" ref="N15:N16" si="6">SUM(B15:M15)</f>
        <v>1111969.3999999999</v>
      </c>
    </row>
    <row r="16" spans="1:14" x14ac:dyDescent="0.3">
      <c r="A16" s="63" t="s">
        <v>170</v>
      </c>
      <c r="B16" s="106">
        <v>153155.69000000003</v>
      </c>
      <c r="C16" s="106">
        <v>157004.96</v>
      </c>
      <c r="D16" s="106">
        <v>343513.62999999995</v>
      </c>
      <c r="E16" s="106">
        <v>165312.20000000001</v>
      </c>
      <c r="F16" s="106">
        <v>188085.27000000002</v>
      </c>
      <c r="G16" s="106">
        <v>208806.25</v>
      </c>
      <c r="H16" s="106">
        <v>170715.56000000003</v>
      </c>
      <c r="I16" s="106">
        <v>195009.97</v>
      </c>
      <c r="J16" s="106">
        <v>220731.13</v>
      </c>
      <c r="K16" s="106">
        <v>192121.84000000003</v>
      </c>
      <c r="L16" s="106">
        <v>180104.81999999998</v>
      </c>
      <c r="M16" s="106">
        <v>201300.42000000004</v>
      </c>
      <c r="N16" s="106">
        <f t="shared" si="6"/>
        <v>2375861.7400000002</v>
      </c>
    </row>
    <row r="17" spans="1:14" x14ac:dyDescent="0.3">
      <c r="A17" s="63" t="s">
        <v>175</v>
      </c>
      <c r="B17" s="106">
        <v>223594.10000000003</v>
      </c>
      <c r="C17" s="106">
        <v>249323.08000000002</v>
      </c>
      <c r="D17" s="106">
        <v>456253.25999999995</v>
      </c>
      <c r="E17" s="106">
        <v>244385.38</v>
      </c>
      <c r="F17" s="106">
        <v>251646.22000000003</v>
      </c>
      <c r="G17" s="106">
        <v>325164.75</v>
      </c>
      <c r="H17" s="106">
        <v>257401.87000000002</v>
      </c>
      <c r="I17" s="106">
        <v>293221.02999999997</v>
      </c>
      <c r="J17" s="106">
        <v>329580.49</v>
      </c>
      <c r="K17" s="106">
        <v>327348.72000000003</v>
      </c>
      <c r="L17" s="106">
        <v>294233.56999999995</v>
      </c>
      <c r="M17" s="106">
        <v>327388.08</v>
      </c>
      <c r="N17" s="106">
        <f>SUM(N14:N16)</f>
        <v>3579540.55</v>
      </c>
    </row>
    <row r="18" spans="1:14" x14ac:dyDescent="0.3">
      <c r="A18" s="63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</row>
    <row r="19" spans="1:14" x14ac:dyDescent="0.3">
      <c r="A19" s="63" t="s">
        <v>154</v>
      </c>
      <c r="B19"/>
      <c r="C19"/>
      <c r="D19"/>
      <c r="E19"/>
      <c r="F19"/>
      <c r="G19"/>
      <c r="H19"/>
      <c r="I19"/>
      <c r="J19"/>
      <c r="K19"/>
      <c r="L19"/>
      <c r="M19"/>
    </row>
    <row r="20" spans="1:14" x14ac:dyDescent="0.3">
      <c r="A20" s="63" t="s">
        <v>168</v>
      </c>
      <c r="B20" s="108">
        <f>+B14/B$17</f>
        <v>2.4114679233486033E-3</v>
      </c>
      <c r="C20" s="108">
        <f t="shared" ref="C20:M20" si="7">+C14/C$17</f>
        <v>1.9508021479599882E-3</v>
      </c>
      <c r="D20" s="108">
        <f t="shared" si="7"/>
        <v>1.7653353315217959E-3</v>
      </c>
      <c r="E20" s="108">
        <f t="shared" si="7"/>
        <v>1.0701867681282735E-2</v>
      </c>
      <c r="F20" s="108">
        <f t="shared" si="7"/>
        <v>1.0906740423122587E-2</v>
      </c>
      <c r="G20" s="108">
        <f t="shared" si="7"/>
        <v>8.6440489013646146E-3</v>
      </c>
      <c r="H20" s="108">
        <f t="shared" si="7"/>
        <v>1.8759459672923123E-2</v>
      </c>
      <c r="I20" s="108">
        <f t="shared" si="7"/>
        <v>2.2352046168039177E-2</v>
      </c>
      <c r="J20" s="108">
        <f t="shared" si="7"/>
        <v>2.0549062233629182E-2</v>
      </c>
      <c r="K20" s="108">
        <f t="shared" si="7"/>
        <v>9.7976860884013833E-2</v>
      </c>
      <c r="L20" s="108">
        <f t="shared" si="7"/>
        <v>5.6076742025051737E-2</v>
      </c>
      <c r="M20" s="108">
        <f t="shared" si="7"/>
        <v>4.5756094724035155E-2</v>
      </c>
      <c r="N20" s="108">
        <f t="shared" ref="N20" si="8">+N14/N$17</f>
        <v>2.5620441707246481E-2</v>
      </c>
    </row>
    <row r="21" spans="1:14" x14ac:dyDescent="0.3">
      <c r="A21" s="63" t="s">
        <v>169</v>
      </c>
      <c r="B21" s="108">
        <f t="shared" ref="B21:M22" si="9">+B15/B$17</f>
        <v>0.3126165672528925</v>
      </c>
      <c r="C21" s="108">
        <f t="shared" si="9"/>
        <v>0.36832426424380765</v>
      </c>
      <c r="D21" s="108">
        <f t="shared" si="9"/>
        <v>0.24533345800093573</v>
      </c>
      <c r="E21" s="108">
        <f t="shared" si="9"/>
        <v>0.31285750399635198</v>
      </c>
      <c r="F21" s="108">
        <f t="shared" si="9"/>
        <v>0.241673846720209</v>
      </c>
      <c r="G21" s="108">
        <f t="shared" si="9"/>
        <v>0.349200705180989</v>
      </c>
      <c r="H21" s="108">
        <f t="shared" si="9"/>
        <v>0.31801474480352449</v>
      </c>
      <c r="I21" s="108">
        <f t="shared" si="9"/>
        <v>0.31258661767882062</v>
      </c>
      <c r="J21" s="108">
        <f t="shared" si="9"/>
        <v>0.30971733187240535</v>
      </c>
      <c r="K21" s="108">
        <f t="shared" si="9"/>
        <v>0.31512046236197283</v>
      </c>
      <c r="L21" s="108">
        <f t="shared" si="9"/>
        <v>0.33180812780812202</v>
      </c>
      <c r="M21" s="108">
        <f t="shared" si="9"/>
        <v>0.33937600904712223</v>
      </c>
      <c r="N21" s="108">
        <f t="shared" ref="N21" si="10">+N15/N$17</f>
        <v>0.31064584531665662</v>
      </c>
    </row>
    <row r="22" spans="1:14" x14ac:dyDescent="0.3">
      <c r="A22" s="63" t="s">
        <v>170</v>
      </c>
      <c r="B22" s="108">
        <f t="shared" si="9"/>
        <v>0.68497196482375877</v>
      </c>
      <c r="C22" s="108">
        <f t="shared" si="9"/>
        <v>0.62972493360823223</v>
      </c>
      <c r="D22" s="108">
        <f t="shared" si="9"/>
        <v>0.75290120666754246</v>
      </c>
      <c r="E22" s="108">
        <f t="shared" si="9"/>
        <v>0.67644062832236529</v>
      </c>
      <c r="F22" s="108">
        <f t="shared" si="9"/>
        <v>0.74741941285666835</v>
      </c>
      <c r="G22" s="108">
        <f t="shared" si="9"/>
        <v>0.64215524591764639</v>
      </c>
      <c r="H22" s="108">
        <f t="shared" si="9"/>
        <v>0.66322579552355243</v>
      </c>
      <c r="I22" s="108">
        <f t="shared" si="9"/>
        <v>0.66506133615314023</v>
      </c>
      <c r="J22" s="108">
        <f t="shared" si="9"/>
        <v>0.66973360589396547</v>
      </c>
      <c r="K22" s="108">
        <f t="shared" si="9"/>
        <v>0.58690267675401331</v>
      </c>
      <c r="L22" s="108">
        <f t="shared" si="9"/>
        <v>0.61211513016682639</v>
      </c>
      <c r="M22" s="108">
        <f t="shared" si="9"/>
        <v>0.61486789622884264</v>
      </c>
      <c r="N22" s="108">
        <f t="shared" ref="N22" si="11">+N16/N$17</f>
        <v>0.66373371297609696</v>
      </c>
    </row>
    <row r="24" spans="1:14" x14ac:dyDescent="0.3">
      <c r="A24" s="63" t="s">
        <v>164</v>
      </c>
    </row>
    <row r="25" spans="1:14" x14ac:dyDescent="0.3">
      <c r="A25" s="63" t="s">
        <v>168</v>
      </c>
      <c r="B25" s="108">
        <f>+AVERAGE(B20,B8)</f>
        <v>1.8511170232353873E-2</v>
      </c>
      <c r="C25" s="108">
        <f t="shared" ref="C25:M25" si="12">+AVERAGE(C20,C8)</f>
        <v>1.8279433223846297E-2</v>
      </c>
      <c r="D25" s="108">
        <f t="shared" si="12"/>
        <v>7.5318696330253024E-2</v>
      </c>
      <c r="E25" s="108">
        <f t="shared" si="12"/>
        <v>5.2534644608032199E-2</v>
      </c>
      <c r="F25" s="108">
        <f t="shared" si="12"/>
        <v>1.4643780131859671E-2</v>
      </c>
      <c r="G25" s="108">
        <f t="shared" si="12"/>
        <v>1.7240285098234633E-2</v>
      </c>
      <c r="H25" s="108">
        <f t="shared" si="12"/>
        <v>9.9186386587754957E-2</v>
      </c>
      <c r="I25" s="108">
        <f t="shared" si="12"/>
        <v>1.4726716672425293E-2</v>
      </c>
      <c r="J25" s="108">
        <f t="shared" si="12"/>
        <v>1.4023397765868736E-2</v>
      </c>
      <c r="K25" s="108">
        <f t="shared" si="12"/>
        <v>5.2438470074454881E-2</v>
      </c>
      <c r="L25" s="108">
        <f t="shared" si="12"/>
        <v>3.236900611515392E-2</v>
      </c>
      <c r="M25" s="108">
        <f t="shared" si="12"/>
        <v>2.6386527885691034E-2</v>
      </c>
      <c r="N25" s="108">
        <f t="shared" ref="N25" si="13">+AVERAGE(N20,N8)</f>
        <v>3.7685649387474957E-2</v>
      </c>
    </row>
    <row r="26" spans="1:14" x14ac:dyDescent="0.3">
      <c r="A26" s="63" t="s">
        <v>169</v>
      </c>
      <c r="B26" s="108">
        <f t="shared" ref="B26:M27" si="14">+AVERAGE(B21,B9)</f>
        <v>0.30766762336017195</v>
      </c>
      <c r="C26" s="108">
        <f t="shared" si="14"/>
        <v>0.34287866997901628</v>
      </c>
      <c r="D26" s="108">
        <f t="shared" si="14"/>
        <v>0.26126565993787171</v>
      </c>
      <c r="E26" s="108">
        <f t="shared" si="14"/>
        <v>0.33710397866213287</v>
      </c>
      <c r="F26" s="108">
        <f t="shared" si="14"/>
        <v>0.23484652523333027</v>
      </c>
      <c r="G26" s="108">
        <f t="shared" si="14"/>
        <v>0.3408380911950179</v>
      </c>
      <c r="H26" s="108">
        <f t="shared" si="14"/>
        <v>0.31087525470559607</v>
      </c>
      <c r="I26" s="108">
        <f t="shared" si="14"/>
        <v>0.36647108853901478</v>
      </c>
      <c r="J26" s="108">
        <f t="shared" si="14"/>
        <v>0.35778693344523338</v>
      </c>
      <c r="K26" s="108">
        <f t="shared" si="14"/>
        <v>0.36887519432995997</v>
      </c>
      <c r="L26" s="108">
        <f t="shared" si="14"/>
        <v>0.32997515195676591</v>
      </c>
      <c r="M26" s="108">
        <f t="shared" si="14"/>
        <v>0.34755267132549761</v>
      </c>
      <c r="N26" s="108">
        <f t="shared" ref="N26" si="15">+AVERAGE(N21,N9)</f>
        <v>0.32408701282100816</v>
      </c>
    </row>
    <row r="27" spans="1:14" x14ac:dyDescent="0.3">
      <c r="A27" s="63" t="s">
        <v>170</v>
      </c>
      <c r="B27" s="108">
        <f t="shared" si="14"/>
        <v>0.67382120640747412</v>
      </c>
      <c r="C27" s="108">
        <f t="shared" si="14"/>
        <v>0.63884189679713743</v>
      </c>
      <c r="D27" s="108">
        <f t="shared" si="14"/>
        <v>0.66341564373187523</v>
      </c>
      <c r="E27" s="108">
        <f t="shared" si="14"/>
        <v>0.61036137672983481</v>
      </c>
      <c r="F27" s="108">
        <f t="shared" si="14"/>
        <v>0.75050969463480999</v>
      </c>
      <c r="G27" s="108">
        <f t="shared" si="14"/>
        <v>0.64192162370674744</v>
      </c>
      <c r="H27" s="108">
        <f t="shared" si="14"/>
        <v>0.5899383587066489</v>
      </c>
      <c r="I27" s="108">
        <f t="shared" si="14"/>
        <v>0.61880219478855991</v>
      </c>
      <c r="J27" s="108">
        <f t="shared" si="14"/>
        <v>0.62818966878889793</v>
      </c>
      <c r="K27" s="108">
        <f t="shared" si="14"/>
        <v>0.57868633559558513</v>
      </c>
      <c r="L27" s="108">
        <f t="shared" si="14"/>
        <v>0.63765584192808022</v>
      </c>
      <c r="M27" s="108">
        <f t="shared" si="14"/>
        <v>0.62606080078881132</v>
      </c>
      <c r="N27" s="108">
        <f t="shared" ref="N27" si="16">+AVERAGE(N22,N10)</f>
        <v>0.63822733779151686</v>
      </c>
    </row>
    <row r="30" spans="1:14" x14ac:dyDescent="0.3">
      <c r="A30" s="63" t="s">
        <v>200</v>
      </c>
      <c r="B30" s="107">
        <f>+'Budget - Overview'!D18</f>
        <v>278006.99558427627</v>
      </c>
      <c r="C30" s="107">
        <f>+'Budget - Overview'!E18</f>
        <v>283315.15223430615</v>
      </c>
      <c r="D30" s="107">
        <f>+'Budget - Overview'!F18</f>
        <v>444389.56668080878</v>
      </c>
      <c r="E30" s="107">
        <f>+'Budget - Overview'!G18</f>
        <v>336795.17756783479</v>
      </c>
      <c r="F30" s="107">
        <f>+'Budget - Overview'!H18</f>
        <v>371554.10010121349</v>
      </c>
      <c r="G30" s="107">
        <f>+'Budget - Overview'!I18</f>
        <v>360228.80688899901</v>
      </c>
      <c r="H30" s="107">
        <f>+'Budget - Overview'!J18</f>
        <v>367677.39723326429</v>
      </c>
      <c r="I30" s="107">
        <f>+'Budget - Overview'!K18</f>
        <v>358217.84187708353</v>
      </c>
      <c r="J30" s="107">
        <f>+'Budget - Overview'!L18</f>
        <v>376662.27130198054</v>
      </c>
      <c r="K30" s="107">
        <f>+'Budget - Overview'!M18</f>
        <v>391467.79722689028</v>
      </c>
      <c r="L30" s="107">
        <f>+'Budget - Overview'!N18</f>
        <v>339497.94910049369</v>
      </c>
      <c r="M30" s="107">
        <f>+'Budget - Overview'!O18</f>
        <v>374996.00770284864</v>
      </c>
      <c r="N30" s="106">
        <f>SUM(B30:M30)</f>
        <v>4282809.0634999992</v>
      </c>
    </row>
    <row r="32" spans="1:14" x14ac:dyDescent="0.3">
      <c r="A32" s="63" t="s">
        <v>164</v>
      </c>
    </row>
    <row r="33" spans="1:14" x14ac:dyDescent="0.3">
      <c r="A33" s="63" t="s">
        <v>168</v>
      </c>
      <c r="B33" s="107">
        <f>+B$30*B25</f>
        <v>5146.2348210457894</v>
      </c>
      <c r="C33" s="107">
        <f t="shared" ref="C33:M33" si="17">+C$30*C25</f>
        <v>5178.8404065708473</v>
      </c>
      <c r="D33" s="107">
        <f t="shared" si="17"/>
        <v>33470.842825164567</v>
      </c>
      <c r="E33" s="107">
        <f t="shared" si="17"/>
        <v>17693.414959225298</v>
      </c>
      <c r="F33" s="107">
        <f t="shared" si="17"/>
        <v>5440.9565489731494</v>
      </c>
      <c r="G33" s="107">
        <f t="shared" si="17"/>
        <v>6210.4473313632507</v>
      </c>
      <c r="H33" s="107">
        <f t="shared" si="17"/>
        <v>36468.592461558095</v>
      </c>
      <c r="I33" s="107">
        <f t="shared" si="17"/>
        <v>5275.3726643314531</v>
      </c>
      <c r="J33" s="107">
        <f t="shared" si="17"/>
        <v>5282.0848538632381</v>
      </c>
      <c r="K33" s="107">
        <f t="shared" si="17"/>
        <v>20527.972369995059</v>
      </c>
      <c r="L33" s="107">
        <f t="shared" si="17"/>
        <v>10989.211190516095</v>
      </c>
      <c r="M33" s="107">
        <f t="shared" si="17"/>
        <v>9894.8426142740263</v>
      </c>
      <c r="N33" s="106">
        <f>SUM(B33:M33)</f>
        <v>161578.81304688091</v>
      </c>
    </row>
    <row r="34" spans="1:14" x14ac:dyDescent="0.3">
      <c r="A34" s="63" t="s">
        <v>169</v>
      </c>
      <c r="B34" s="107">
        <f t="shared" ref="B34:M35" si="18">+B$30*B26</f>
        <v>85533.751608916093</v>
      </c>
      <c r="C34" s="107">
        <f t="shared" si="18"/>
        <v>97142.722583001421</v>
      </c>
      <c r="D34" s="107">
        <f t="shared" si="18"/>
        <v>116103.73340836634</v>
      </c>
      <c r="E34" s="107">
        <f t="shared" si="18"/>
        <v>113534.99435233664</v>
      </c>
      <c r="F34" s="107">
        <f t="shared" si="18"/>
        <v>87258.189344966959</v>
      </c>
      <c r="G34" s="107">
        <f t="shared" si="18"/>
        <v>122779.69893350513</v>
      </c>
      <c r="H34" s="107">
        <f t="shared" si="18"/>
        <v>114301.80451438166</v>
      </c>
      <c r="I34" s="107">
        <f t="shared" si="18"/>
        <v>131276.48244679146</v>
      </c>
      <c r="J34" s="107">
        <f t="shared" si="18"/>
        <v>134764.83899365214</v>
      </c>
      <c r="K34" s="107">
        <f t="shared" si="18"/>
        <v>144402.7597759905</v>
      </c>
      <c r="L34" s="107">
        <f t="shared" si="18"/>
        <v>112025.88734344578</v>
      </c>
      <c r="M34" s="107">
        <f t="shared" si="18"/>
        <v>130330.86421352193</v>
      </c>
      <c r="N34" s="106">
        <f t="shared" ref="N34:N35" si="19">SUM(B34:M34)</f>
        <v>1389455.7275188759</v>
      </c>
    </row>
    <row r="35" spans="1:14" x14ac:dyDescent="0.3">
      <c r="A35" s="63" t="s">
        <v>170</v>
      </c>
      <c r="B35" s="107">
        <f t="shared" si="18"/>
        <v>187327.00915431438</v>
      </c>
      <c r="C35" s="107">
        <f t="shared" si="18"/>
        <v>180993.58924473388</v>
      </c>
      <c r="D35" s="107">
        <f t="shared" si="18"/>
        <v>294814.99044727784</v>
      </c>
      <c r="E35" s="107">
        <f t="shared" si="18"/>
        <v>205566.76825627283</v>
      </c>
      <c r="F35" s="107">
        <f t="shared" si="18"/>
        <v>278854.95420727337</v>
      </c>
      <c r="G35" s="107">
        <f t="shared" si="18"/>
        <v>231238.6606241306</v>
      </c>
      <c r="H35" s="107">
        <f t="shared" si="18"/>
        <v>216907.00025732451</v>
      </c>
      <c r="I35" s="107">
        <f t="shared" si="18"/>
        <v>221665.98676596058</v>
      </c>
      <c r="J35" s="107">
        <f t="shared" si="18"/>
        <v>236615.34745446517</v>
      </c>
      <c r="K35" s="107">
        <f t="shared" si="18"/>
        <v>226537.06508090469</v>
      </c>
      <c r="L35" s="107">
        <f t="shared" si="18"/>
        <v>216482.85056653182</v>
      </c>
      <c r="M35" s="107">
        <f t="shared" si="18"/>
        <v>234770.30087505269</v>
      </c>
      <c r="N35" s="106">
        <f t="shared" si="19"/>
        <v>2731774.5229342426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F9F46A58227645AA49C692173820DD" ma:contentTypeVersion="18" ma:contentTypeDescription="Een nieuw document maken." ma:contentTypeScope="" ma:versionID="bf069800cead304b041f473f08792e13">
  <xsd:schema xmlns:xsd="http://www.w3.org/2001/XMLSchema" xmlns:xs="http://www.w3.org/2001/XMLSchema" xmlns:p="http://schemas.microsoft.com/office/2006/metadata/properties" xmlns:ns2="5c4faec1-e8ce-47ec-a530-b06a96cf8d61" xmlns:ns3="17a35e02-d263-464f-955f-0603be2c3831" targetNamespace="http://schemas.microsoft.com/office/2006/metadata/properties" ma:root="true" ma:fieldsID="909fefc780524b392ee06011964adff4" ns2:_="" ns3:_="">
    <xsd:import namespace="5c4faec1-e8ce-47ec-a530-b06a96cf8d61"/>
    <xsd:import namespace="17a35e02-d263-464f-955f-0603be2c3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aec1-e8ce-47ec-a530-b06a96cf8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b109bd04-6a31-4024-b653-88b9af4a4d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35e02-d263-464f-955f-0603be2c383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1ef7ae-c2e4-4ed8-945d-aed19fbb8911}" ma:internalName="TaxCatchAll" ma:showField="CatchAllData" ma:web="17a35e02-d263-464f-955f-0603be2c38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4faec1-e8ce-47ec-a530-b06a96cf8d61">
      <Terms xmlns="http://schemas.microsoft.com/office/infopath/2007/PartnerControls"/>
    </lcf76f155ced4ddcb4097134ff3c332f>
    <TaxCatchAll xmlns="17a35e02-d263-464f-955f-0603be2c3831" xsi:nil="true"/>
  </documentManagement>
</p:properties>
</file>

<file path=customXml/itemProps1.xml><?xml version="1.0" encoding="utf-8"?>
<ds:datastoreItem xmlns:ds="http://schemas.openxmlformats.org/officeDocument/2006/customXml" ds:itemID="{235C5177-BBF5-40DB-88C1-964B262A4B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ABE9CB-2252-45CE-A493-2A5220A28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faec1-e8ce-47ec-a530-b06a96cf8d61"/>
    <ds:schemaRef ds:uri="17a35e02-d263-464f-955f-0603be2c38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2543F7-122A-48BF-8061-7368AE7BC7EE}">
  <ds:schemaRefs>
    <ds:schemaRef ds:uri="http://schemas.microsoft.com/office/2006/metadata/properties"/>
    <ds:schemaRef ds:uri="http://schemas.microsoft.com/office/infopath/2007/PartnerControls"/>
    <ds:schemaRef ds:uri="5c4faec1-e8ce-47ec-a530-b06a96cf8d61"/>
    <ds:schemaRef ds:uri="17a35e02-d263-464f-955f-0603be2c38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P&amp;L WACD</vt:lpstr>
      <vt:lpstr>Budget - Overview</vt:lpstr>
      <vt:lpstr>Budget - Ken</vt:lpstr>
      <vt:lpstr>Budget - Int &amp; Taxes</vt:lpstr>
      <vt:lpstr>Budget -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Erkamp</dc:creator>
  <cp:lastModifiedBy>Sruthi Baskaran</cp:lastModifiedBy>
  <dcterms:created xsi:type="dcterms:W3CDTF">2023-07-10T12:14:38Z</dcterms:created>
  <dcterms:modified xsi:type="dcterms:W3CDTF">2026-09-21T07:13:26Z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0x01010038F9F46A58227645AA49C692173820DD</vt:lpwstr>
  </property>
  <property fmtid="{D5CDD505-2E9C-101B-9397-08002B2CF9AE}" pid="3" name="MediaServiceImageTags">
    <vt:lpwstr/>
  </property>
</Properties>
</file>